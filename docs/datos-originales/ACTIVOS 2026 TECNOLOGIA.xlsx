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 DE EQUIPOS" sheetId="1" r:id="rId5"/>
    <sheet state="visible" name="CAMBIOS DE EQUIPOS" sheetId="2" r:id="rId6"/>
  </sheets>
  <definedNames>
    <definedName hidden="1" localSheetId="0" name="_xlnm._FilterDatabase">'DETALLE DE EQUIPOS'!$A$5:$N$347</definedName>
  </definedNames>
  <calcPr/>
</workbook>
</file>

<file path=xl/sharedStrings.xml><?xml version="1.0" encoding="utf-8"?>
<sst xmlns="http://schemas.openxmlformats.org/spreadsheetml/2006/main" count="2160" uniqueCount="599">
  <si>
    <t>ID EQUIPOS</t>
  </si>
  <si>
    <t>UBICACION</t>
  </si>
  <si>
    <t>TIPO EQUIPO</t>
  </si>
  <si>
    <t>MARCA/MODELO</t>
  </si>
  <si>
    <t>PROCESADOR</t>
  </si>
  <si>
    <t>RAM</t>
  </si>
  <si>
    <t>ALMACENAMIENTO</t>
  </si>
  <si>
    <t>CANTIDAD</t>
  </si>
  <si>
    <t>ESTADO</t>
  </si>
  <si>
    <t>RESPONSABLE / NOTAS ADICIONAL</t>
  </si>
  <si>
    <t>EQ-324</t>
  </si>
  <si>
    <t>TECNOLOGIA</t>
  </si>
  <si>
    <t>CPU</t>
  </si>
  <si>
    <t>BEELINK</t>
  </si>
  <si>
    <t>8GB</t>
  </si>
  <si>
    <t>250GB</t>
  </si>
  <si>
    <t>DAÑADO</t>
  </si>
  <si>
    <t>IVAN</t>
  </si>
  <si>
    <t>INVENTARIO DETALLADO DE ACTIVOS TI Y COMPONENTES</t>
  </si>
  <si>
    <t>TOTAL DE EQUIPOS</t>
  </si>
  <si>
    <t>MONITOR</t>
  </si>
  <si>
    <t>IMPRESORA</t>
  </si>
  <si>
    <t>UPS</t>
  </si>
  <si>
    <t>TECLADO</t>
  </si>
  <si>
    <t>MOUSE</t>
  </si>
  <si>
    <t>TELEFONO</t>
  </si>
  <si>
    <t>CAMARA</t>
  </si>
  <si>
    <t>LAPTOP</t>
  </si>
  <si>
    <t>BOCINAS</t>
  </si>
  <si>
    <t>PROYECTOR</t>
  </si>
  <si>
    <t>EQ-01</t>
  </si>
  <si>
    <t>DELL INSPIRON 15</t>
  </si>
  <si>
    <t xml:space="preserve">i7 12th </t>
  </si>
  <si>
    <t>16GB</t>
  </si>
  <si>
    <t>1TB</t>
  </si>
  <si>
    <t>EN USO</t>
  </si>
  <si>
    <t>RYAM</t>
  </si>
  <si>
    <t>EQ-02</t>
  </si>
  <si>
    <t>NEO NUBIA 03 Z2464N</t>
  </si>
  <si>
    <t>20 GB</t>
  </si>
  <si>
    <t>256GB</t>
  </si>
  <si>
    <t>ANDREW</t>
  </si>
  <si>
    <t>EQ-03</t>
  </si>
  <si>
    <t xml:space="preserve">IPHONE 13 PRO </t>
  </si>
  <si>
    <t>6 GB</t>
  </si>
  <si>
    <t>EQ-04</t>
  </si>
  <si>
    <t>MICROFONO</t>
  </si>
  <si>
    <t>FIFINE</t>
  </si>
  <si>
    <t>EQ-05</t>
  </si>
  <si>
    <t>LENOVO</t>
  </si>
  <si>
    <t>M3-8100Y</t>
  </si>
  <si>
    <t>EN ALMACEN</t>
  </si>
  <si>
    <t>EQ-06</t>
  </si>
  <si>
    <t>BRAYAN</t>
  </si>
  <si>
    <t>EQ-07</t>
  </si>
  <si>
    <t>GAMER</t>
  </si>
  <si>
    <t>RYZEN 5 5600</t>
  </si>
  <si>
    <t>EQ-08</t>
  </si>
  <si>
    <t>AOC 27"</t>
  </si>
  <si>
    <t>EQ-09</t>
  </si>
  <si>
    <t>KTC 27"</t>
  </si>
  <si>
    <t>EQ-10</t>
  </si>
  <si>
    <t>XTECH</t>
  </si>
  <si>
    <t>EQ-11</t>
  </si>
  <si>
    <t>MSI</t>
  </si>
  <si>
    <t>EQ-12</t>
  </si>
  <si>
    <t>LOGITECH G502 HERO</t>
  </si>
  <si>
    <t>EQ-13</t>
  </si>
  <si>
    <t>ARGOM</t>
  </si>
  <si>
    <t>EQ-14</t>
  </si>
  <si>
    <t>GRANDSTREAM</t>
  </si>
  <si>
    <t>EQ-15</t>
  </si>
  <si>
    <t xml:space="preserve">TV </t>
  </si>
  <si>
    <t>SAMSUNG 43"</t>
  </si>
  <si>
    <t>CAMARAS</t>
  </si>
  <si>
    <t>EQ-16</t>
  </si>
  <si>
    <t>LENOVO THINKCENTRE</t>
  </si>
  <si>
    <t>i5 7500</t>
  </si>
  <si>
    <t>EQ-17</t>
  </si>
  <si>
    <t>BT RGB</t>
  </si>
  <si>
    <t>EQ-18</t>
  </si>
  <si>
    <t>EQ-19</t>
  </si>
  <si>
    <t>YORKI</t>
  </si>
  <si>
    <t>EQ-20</t>
  </si>
  <si>
    <t>EQ-21</t>
  </si>
  <si>
    <t>DELL</t>
  </si>
  <si>
    <t>EQ-22</t>
  </si>
  <si>
    <t>EQ-23</t>
  </si>
  <si>
    <t>EQ-24</t>
  </si>
  <si>
    <t>BROTHER DCP720DW</t>
  </si>
  <si>
    <t>EQ-25</t>
  </si>
  <si>
    <t>VICERRECTORIA ACADEMICA</t>
  </si>
  <si>
    <t>ANGELINA SUERO</t>
  </si>
  <si>
    <t>EQ-26</t>
  </si>
  <si>
    <t>CANON G3110</t>
  </si>
  <si>
    <t>EQ-27</t>
  </si>
  <si>
    <t>KLIPXTREME</t>
  </si>
  <si>
    <t>EQ-28</t>
  </si>
  <si>
    <t>UNIPOWER 500VA</t>
  </si>
  <si>
    <t>EQ-29</t>
  </si>
  <si>
    <t>EQ-30</t>
  </si>
  <si>
    <t>HP PRODESK</t>
  </si>
  <si>
    <t>EQ-31</t>
  </si>
  <si>
    <t>EQ-32</t>
  </si>
  <si>
    <t>EQ-33</t>
  </si>
  <si>
    <t>DELL 22"</t>
  </si>
  <si>
    <t>EQ-34</t>
  </si>
  <si>
    <t>SECRETARIA RECTORIA</t>
  </si>
  <si>
    <t>MARIA CAMILO</t>
  </si>
  <si>
    <t>EQ-35</t>
  </si>
  <si>
    <t>EPSON L5590</t>
  </si>
  <si>
    <t>EQ-36</t>
  </si>
  <si>
    <t>EQ-37</t>
  </si>
  <si>
    <t>EQ-38</t>
  </si>
  <si>
    <t>EQ-39</t>
  </si>
  <si>
    <t>EQ-40</t>
  </si>
  <si>
    <t>BES</t>
  </si>
  <si>
    <t>EQ-41</t>
  </si>
  <si>
    <t>KTC 24"</t>
  </si>
  <si>
    <t>EQ-42</t>
  </si>
  <si>
    <t>RECTORIA</t>
  </si>
  <si>
    <t>BROTHER T710DW</t>
  </si>
  <si>
    <t xml:space="preserve">VILMA </t>
  </si>
  <si>
    <t>EQ-43</t>
  </si>
  <si>
    <t>LOGI</t>
  </si>
  <si>
    <t>EQ-44</t>
  </si>
  <si>
    <t>EQ-45</t>
  </si>
  <si>
    <t>VICERRECTORA ADMINISTRATIVA</t>
  </si>
  <si>
    <t>MARIA DEL CARMEN</t>
  </si>
  <si>
    <t>EQ-46</t>
  </si>
  <si>
    <t>RICOH MP 307</t>
  </si>
  <si>
    <t>EQ-47</t>
  </si>
  <si>
    <t>BES DDP-650 650V [111812501469]</t>
  </si>
  <si>
    <t>MARIA DEL CARMEN [IMPRESORA]</t>
  </si>
  <si>
    <t>EQ-48</t>
  </si>
  <si>
    <t>EQ-49</t>
  </si>
  <si>
    <t>EQ-50</t>
  </si>
  <si>
    <t>EQ-51</t>
  </si>
  <si>
    <t>AGILER</t>
  </si>
  <si>
    <t>EQ-52</t>
  </si>
  <si>
    <t>FORZA NT SERIES 750V  [250821503881]</t>
  </si>
  <si>
    <t>EQ-53</t>
  </si>
  <si>
    <t>AOC 24"</t>
  </si>
  <si>
    <t>EQ-54</t>
  </si>
  <si>
    <t>EQ-55</t>
  </si>
  <si>
    <t>HEADSET</t>
  </si>
  <si>
    <t>LOGIC H390</t>
  </si>
  <si>
    <t>EQ-56</t>
  </si>
  <si>
    <t>CUENTAS X COBRAR</t>
  </si>
  <si>
    <t>YASMIN ACOSTA</t>
  </si>
  <si>
    <t>EQ-57</t>
  </si>
  <si>
    <t>EQ-58</t>
  </si>
  <si>
    <t>EQ-59</t>
  </si>
  <si>
    <t>EQ-60</t>
  </si>
  <si>
    <t>EQ-61</t>
  </si>
  <si>
    <t>EQ-62</t>
  </si>
  <si>
    <t>FORZA NT SERIES 750V [260321500959]</t>
  </si>
  <si>
    <t>EQ-63</t>
  </si>
  <si>
    <t xml:space="preserve">YASMIN ACOSTA </t>
  </si>
  <si>
    <t>EQ-64</t>
  </si>
  <si>
    <t>CUENTAS X COBRAR SECRETARIA</t>
  </si>
  <si>
    <t>GRANDSTREAM CENTRAL</t>
  </si>
  <si>
    <t xml:space="preserve">APC </t>
  </si>
  <si>
    <t>EQ-65</t>
  </si>
  <si>
    <t>MELANY PAULA</t>
  </si>
  <si>
    <t>EQ-66</t>
  </si>
  <si>
    <t>EQ-67</t>
  </si>
  <si>
    <t>EQ-68</t>
  </si>
  <si>
    <t>EQ-69</t>
  </si>
  <si>
    <t>CONNET POS80-01</t>
  </si>
  <si>
    <t>EQ-70</t>
  </si>
  <si>
    <t>CUENTA X COBRAR SECRETARIA</t>
  </si>
  <si>
    <t>APC BV1000</t>
  </si>
  <si>
    <t>EQ-71</t>
  </si>
  <si>
    <t>AOC 22"</t>
  </si>
  <si>
    <t>EQ-72</t>
  </si>
  <si>
    <t>CONTABILIDAD ASISTENTE</t>
  </si>
  <si>
    <t xml:space="preserve"> KTC 24"</t>
  </si>
  <si>
    <t>ELIZABETH TORRES</t>
  </si>
  <si>
    <t>EQ-73</t>
  </si>
  <si>
    <t>EQ-74</t>
  </si>
  <si>
    <t>BACK-UPS 1000</t>
  </si>
  <si>
    <t>EQ-75</t>
  </si>
  <si>
    <t>EQ-76</t>
  </si>
  <si>
    <t>EQ-77</t>
  </si>
  <si>
    <t>EQ-78</t>
  </si>
  <si>
    <t>EQ-79</t>
  </si>
  <si>
    <t>RAINBOW</t>
  </si>
  <si>
    <t>EQ-80</t>
  </si>
  <si>
    <t>EQ-81</t>
  </si>
  <si>
    <t>EPSON L6171</t>
  </si>
  <si>
    <t>EQ-82</t>
  </si>
  <si>
    <t>CONTABILIDAD DIRECTORA</t>
  </si>
  <si>
    <t>JAEL ALCANTARA</t>
  </si>
  <si>
    <t>EQ-83</t>
  </si>
  <si>
    <t>EQ-84</t>
  </si>
  <si>
    <t>EQ-85</t>
  </si>
  <si>
    <t>EQ-86</t>
  </si>
  <si>
    <t>EQ-87</t>
  </si>
  <si>
    <t>EQ-88</t>
  </si>
  <si>
    <t>EQ-89</t>
  </si>
  <si>
    <t>EQ-90</t>
  </si>
  <si>
    <t>EQ-91</t>
  </si>
  <si>
    <t>EPSON L3250</t>
  </si>
  <si>
    <t>EQ-92</t>
  </si>
  <si>
    <t>SWITCH</t>
  </si>
  <si>
    <t>GLC GC100-100W</t>
  </si>
  <si>
    <t>EQ-93</t>
  </si>
  <si>
    <t>RR.HH DIRECTORA</t>
  </si>
  <si>
    <t>ANA CAMAAÑO</t>
  </si>
  <si>
    <t>EQ-94</t>
  </si>
  <si>
    <t>EQ-95</t>
  </si>
  <si>
    <t>EQ-96</t>
  </si>
  <si>
    <t>EQ-97</t>
  </si>
  <si>
    <t>EQ-98</t>
  </si>
  <si>
    <t>EQ-99</t>
  </si>
  <si>
    <t>EQ-100</t>
  </si>
  <si>
    <t>EQ-101</t>
  </si>
  <si>
    <t>FORZA NT SERIES 750V [250821503926]</t>
  </si>
  <si>
    <t>EQ-102</t>
  </si>
  <si>
    <t>DIRECTORA DE ESCUELA</t>
  </si>
  <si>
    <t>CLAUDIA</t>
  </si>
  <si>
    <t>EQ-103</t>
  </si>
  <si>
    <t>EQ-104</t>
  </si>
  <si>
    <t>EQ-105</t>
  </si>
  <si>
    <t>EQ-106</t>
  </si>
  <si>
    <t>EQ-107</t>
  </si>
  <si>
    <t>EQ-108</t>
  </si>
  <si>
    <t>GENERICAS</t>
  </si>
  <si>
    <t>EQ-109</t>
  </si>
  <si>
    <t>EQ-110</t>
  </si>
  <si>
    <t>SECRETARIA DIR. ESCUELA</t>
  </si>
  <si>
    <t>DELL 24"</t>
  </si>
  <si>
    <t>WINI</t>
  </si>
  <si>
    <t>EQ-111</t>
  </si>
  <si>
    <t>EQ-112</t>
  </si>
  <si>
    <t>EQ-113</t>
  </si>
  <si>
    <t>DELLL</t>
  </si>
  <si>
    <t>EQ-114</t>
  </si>
  <si>
    <t>EQ-115</t>
  </si>
  <si>
    <t>GRANSTREAM</t>
  </si>
  <si>
    <t>EQ-116</t>
  </si>
  <si>
    <t>EQ-117</t>
  </si>
  <si>
    <t>EQ-118</t>
  </si>
  <si>
    <t>ADMISIONES</t>
  </si>
  <si>
    <t>NOEMI</t>
  </si>
  <si>
    <t>EQ-119</t>
  </si>
  <si>
    <t>DELL 7050</t>
  </si>
  <si>
    <t>EQ-120</t>
  </si>
  <si>
    <t>EQ-121</t>
  </si>
  <si>
    <t>EQ-122</t>
  </si>
  <si>
    <t>EQ-123</t>
  </si>
  <si>
    <t>BES (IMPRESORA)</t>
  </si>
  <si>
    <t>EQ-124</t>
  </si>
  <si>
    <t>EPSON WORKFORCE PRO C5890</t>
  </si>
  <si>
    <t>EQ-125</t>
  </si>
  <si>
    <t>FORZA NT SERIES 750V [250821503928]</t>
  </si>
  <si>
    <t>LLANIVER</t>
  </si>
  <si>
    <t>EQ-126</t>
  </si>
  <si>
    <t>ADMISIONES DIRECTORA</t>
  </si>
  <si>
    <t>EQ-127</t>
  </si>
  <si>
    <t>EQ-128</t>
  </si>
  <si>
    <t>EQ-129</t>
  </si>
  <si>
    <t>EQ-130</t>
  </si>
  <si>
    <t>EQ-131</t>
  </si>
  <si>
    <t xml:space="preserve"> </t>
  </si>
  <si>
    <t>EQ-132</t>
  </si>
  <si>
    <t>EQ-133</t>
  </si>
  <si>
    <t>REGISTRO PC01</t>
  </si>
  <si>
    <t>JORLENI</t>
  </si>
  <si>
    <t>EQ-134</t>
  </si>
  <si>
    <t>EQ-135</t>
  </si>
  <si>
    <t>EQ-136</t>
  </si>
  <si>
    <t>EQ-137</t>
  </si>
  <si>
    <t>BROTHER T720DW</t>
  </si>
  <si>
    <t>EQ-138</t>
  </si>
  <si>
    <t>RETEV15</t>
  </si>
  <si>
    <t>EQ-139</t>
  </si>
  <si>
    <t>EQ-140</t>
  </si>
  <si>
    <t>REGISTRO PC02</t>
  </si>
  <si>
    <t>YESICA</t>
  </si>
  <si>
    <t>EQ-141</t>
  </si>
  <si>
    <t>EQ-142</t>
  </si>
  <si>
    <t>EQ-143</t>
  </si>
  <si>
    <t>LOGITECH</t>
  </si>
  <si>
    <t>EQ-144</t>
  </si>
  <si>
    <t>EQ-145</t>
  </si>
  <si>
    <t>EQ-146</t>
  </si>
  <si>
    <t>EQ-147</t>
  </si>
  <si>
    <t>REGISTRO PC03</t>
  </si>
  <si>
    <t>ALEXANDRA</t>
  </si>
  <si>
    <t>EQ-148</t>
  </si>
  <si>
    <t>EQ-149</t>
  </si>
  <si>
    <t>EQ-150</t>
  </si>
  <si>
    <t>EQ-151</t>
  </si>
  <si>
    <t>EPSON L575</t>
  </si>
  <si>
    <t>EQ-152</t>
  </si>
  <si>
    <t>EQ-153</t>
  </si>
  <si>
    <t xml:space="preserve">REGISTRO PC04 </t>
  </si>
  <si>
    <t>INACTIVO</t>
  </si>
  <si>
    <t>REGISTRO</t>
  </si>
  <si>
    <t>EQ-154</t>
  </si>
  <si>
    <t>EQ-155</t>
  </si>
  <si>
    <t xml:space="preserve"> DELL</t>
  </si>
  <si>
    <t>EQ-156</t>
  </si>
  <si>
    <t>REGISTRO RICOH</t>
  </si>
  <si>
    <t>IMPRESORA RICOH  REGISTRO</t>
  </si>
  <si>
    <t>EQ-157</t>
  </si>
  <si>
    <t>REGISTRO DIRECTORA</t>
  </si>
  <si>
    <t>JOHANNY</t>
  </si>
  <si>
    <t>EQ-158</t>
  </si>
  <si>
    <t>EQ-159</t>
  </si>
  <si>
    <t>EQ-160</t>
  </si>
  <si>
    <t>EQ-161</t>
  </si>
  <si>
    <t>EQ-162</t>
  </si>
  <si>
    <t>EQ-163</t>
  </si>
  <si>
    <t>RICOH C2004EX</t>
  </si>
  <si>
    <t>EQ-164</t>
  </si>
  <si>
    <t>BROTHER T710W</t>
  </si>
  <si>
    <t>EQ-165</t>
  </si>
  <si>
    <t>ORIENTACION DIRECTORA</t>
  </si>
  <si>
    <t>ILSI</t>
  </si>
  <si>
    <t>EQ-166</t>
  </si>
  <si>
    <t>EQ-167</t>
  </si>
  <si>
    <t>EQ-168</t>
  </si>
  <si>
    <t>FORZA NT SERIES 750V</t>
  </si>
  <si>
    <t>CABINA</t>
  </si>
  <si>
    <t>EQ-169</t>
  </si>
  <si>
    <t>EQ-170</t>
  </si>
  <si>
    <t>EQ-171</t>
  </si>
  <si>
    <t>EQ-172</t>
  </si>
  <si>
    <t>EQ-173</t>
  </si>
  <si>
    <t>APC 1000V CABINA</t>
  </si>
  <si>
    <t>EQ-174</t>
  </si>
  <si>
    <t>ORIENTACION SECRETARIA</t>
  </si>
  <si>
    <t>MAIBY</t>
  </si>
  <si>
    <t>EQ-175</t>
  </si>
  <si>
    <t xml:space="preserve">ORIENTACION SECRETARIA </t>
  </si>
  <si>
    <t>EQ-176</t>
  </si>
  <si>
    <t>EQ-177</t>
  </si>
  <si>
    <t>EQ-178</t>
  </si>
  <si>
    <t>EQ-179</t>
  </si>
  <si>
    <t>OMEGA</t>
  </si>
  <si>
    <t>EQ-180</t>
  </si>
  <si>
    <t>FORZA NT SERIES 750V IMPRESORA [260321500058]</t>
  </si>
  <si>
    <t>EQ-181</t>
  </si>
  <si>
    <t xml:space="preserve">EPSON WF-C5810 </t>
  </si>
  <si>
    <t>EQ-182</t>
  </si>
  <si>
    <t>ESCUELA TECNICA</t>
  </si>
  <si>
    <t>AOC  22"</t>
  </si>
  <si>
    <t>YINA</t>
  </si>
  <si>
    <t>EQ-183</t>
  </si>
  <si>
    <t>EQ-184</t>
  </si>
  <si>
    <t>EQ-185</t>
  </si>
  <si>
    <t>GENERICO</t>
  </si>
  <si>
    <t>EQ-186</t>
  </si>
  <si>
    <t>EQ-187</t>
  </si>
  <si>
    <t>EQ-188</t>
  </si>
  <si>
    <t>EQ-189</t>
  </si>
  <si>
    <t xml:space="preserve">VINCULACION CON EL MEDIO </t>
  </si>
  <si>
    <t>KTC 24" W2471SG</t>
  </si>
  <si>
    <t>NADESKA</t>
  </si>
  <si>
    <t>EQ-190</t>
  </si>
  <si>
    <t>VINCULACION CON EL MEDIO</t>
  </si>
  <si>
    <t>EQ-191</t>
  </si>
  <si>
    <t>HP</t>
  </si>
  <si>
    <t>EQ-192</t>
  </si>
  <si>
    <t>EQ-193</t>
  </si>
  <si>
    <t>EQ-194</t>
  </si>
  <si>
    <t>EQ-195</t>
  </si>
  <si>
    <t>EQ-196</t>
  </si>
  <si>
    <t>DIRECTOR DE POSTGRADO</t>
  </si>
  <si>
    <t xml:space="preserve"> AOC 22"</t>
  </si>
  <si>
    <t>GUILLERMO</t>
  </si>
  <si>
    <t>EQ-197</t>
  </si>
  <si>
    <t>EQ-198</t>
  </si>
  <si>
    <t>EQ-199</t>
  </si>
  <si>
    <t>EQ-200</t>
  </si>
  <si>
    <t xml:space="preserve">GRANDSTREAM </t>
  </si>
  <si>
    <t>EQ-201</t>
  </si>
  <si>
    <t>EQ-202</t>
  </si>
  <si>
    <t>FORZA  NT-1011D 1000V</t>
  </si>
  <si>
    <t>EQ-203</t>
  </si>
  <si>
    <t>EQ-204</t>
  </si>
  <si>
    <t>FORZA NT SERIES 750D 750V [260321500873]</t>
  </si>
  <si>
    <t>EQ-205</t>
  </si>
  <si>
    <t>PIZARRA</t>
  </si>
  <si>
    <t>Huawei IdeaHub Board 2 (65" - modelo IHB2-65SU)</t>
  </si>
  <si>
    <t>EQ-206</t>
  </si>
  <si>
    <t>SECRETARIA POSTGRADO</t>
  </si>
  <si>
    <t xml:space="preserve"> DELL 22"</t>
  </si>
  <si>
    <t>NATALI</t>
  </si>
  <si>
    <t>EQ-207</t>
  </si>
  <si>
    <t>EQ-208</t>
  </si>
  <si>
    <t>EQ-209</t>
  </si>
  <si>
    <t>EQ-210</t>
  </si>
  <si>
    <t>EQ-211</t>
  </si>
  <si>
    <t>EQ-212</t>
  </si>
  <si>
    <t>EQ-213</t>
  </si>
  <si>
    <t>PANORAMICA</t>
  </si>
  <si>
    <t xml:space="preserve"> DELL 24"</t>
  </si>
  <si>
    <t>KAROL</t>
  </si>
  <si>
    <t>EQ-214</t>
  </si>
  <si>
    <t>EQ-215</t>
  </si>
  <si>
    <t>EQ-216</t>
  </si>
  <si>
    <t>EQ-217</t>
  </si>
  <si>
    <t>EQ-218</t>
  </si>
  <si>
    <t>EQ-219</t>
  </si>
  <si>
    <t>RICOH  SP C840DN</t>
  </si>
  <si>
    <t>EQ-220</t>
  </si>
  <si>
    <t>EQ-221</t>
  </si>
  <si>
    <t>FORZA NT SERIES 750V [260321500958]</t>
  </si>
  <si>
    <t>EQ-222</t>
  </si>
  <si>
    <t>GALEON</t>
  </si>
  <si>
    <t>EQ-223</t>
  </si>
  <si>
    <t>LABORATORIO COMPUTO</t>
  </si>
  <si>
    <t>CANTIDAD: 12</t>
  </si>
  <si>
    <t>EQ-224</t>
  </si>
  <si>
    <t>EQ-225</t>
  </si>
  <si>
    <t>EQ-226</t>
  </si>
  <si>
    <t>2 COMPUTADORES X UPS</t>
  </si>
  <si>
    <t>EQ-227</t>
  </si>
  <si>
    <t>EQ-228</t>
  </si>
  <si>
    <t>BIBLIOTECA DIRECTORA</t>
  </si>
  <si>
    <t>SAMSUNG 24"</t>
  </si>
  <si>
    <t>LUZ CENEIDA</t>
  </si>
  <si>
    <t>EQ-229</t>
  </si>
  <si>
    <t>DELL OPTIPLEX  7050</t>
  </si>
  <si>
    <t>EQ-230</t>
  </si>
  <si>
    <t>EQ-231</t>
  </si>
  <si>
    <t>EQ-232</t>
  </si>
  <si>
    <t>EQ-233</t>
  </si>
  <si>
    <t>RICOH 4055 SP</t>
  </si>
  <si>
    <t>EQ-234</t>
  </si>
  <si>
    <t>EPSON L6270</t>
  </si>
  <si>
    <t>EQ-235</t>
  </si>
  <si>
    <t>EQ-236</t>
  </si>
  <si>
    <t>BIBLIOTECA SOPORTE TECNICO</t>
  </si>
  <si>
    <t>EQ-237</t>
  </si>
  <si>
    <t>EQ-238</t>
  </si>
  <si>
    <t>EQ-239</t>
  </si>
  <si>
    <t>EQ-240</t>
  </si>
  <si>
    <t>EQ-241</t>
  </si>
  <si>
    <t>EQ-242</t>
  </si>
  <si>
    <t>LENOVO THINKPAD 11e Yoga Gen 6</t>
  </si>
  <si>
    <t>EQ-243</t>
  </si>
  <si>
    <t>BIBLIOTECA ASISTEMTE</t>
  </si>
  <si>
    <t>DEBORA</t>
  </si>
  <si>
    <t>EQ-244</t>
  </si>
  <si>
    <t>EQ-245</t>
  </si>
  <si>
    <t>COMPAQ</t>
  </si>
  <si>
    <t>EQ-246</t>
  </si>
  <si>
    <t>EQ-247</t>
  </si>
  <si>
    <t>CATALOGO 1</t>
  </si>
  <si>
    <t>DELL 19"</t>
  </si>
  <si>
    <t>BIBLIOTECA</t>
  </si>
  <si>
    <t>EQ-248</t>
  </si>
  <si>
    <t>DELL 960</t>
  </si>
  <si>
    <t>EQ-249</t>
  </si>
  <si>
    <t>EQ-250</t>
  </si>
  <si>
    <t>EQ-251</t>
  </si>
  <si>
    <t>CATALOGO 2</t>
  </si>
  <si>
    <t>EQ-252</t>
  </si>
  <si>
    <t>DELL OPTIPLEX 390</t>
  </si>
  <si>
    <t>EQ-253</t>
  </si>
  <si>
    <t>EQ-254</t>
  </si>
  <si>
    <t>EQ-255</t>
  </si>
  <si>
    <t>CATALOGO 3</t>
  </si>
  <si>
    <t>EQ-256</t>
  </si>
  <si>
    <t>EQ-257</t>
  </si>
  <si>
    <t>EQ-258</t>
  </si>
  <si>
    <t>EQ-259</t>
  </si>
  <si>
    <t>DIRECTORA INVESTIGACION</t>
  </si>
  <si>
    <t>KATERI RIVAS</t>
  </si>
  <si>
    <t>EQ-260</t>
  </si>
  <si>
    <t>OPTIPLEX 7050</t>
  </si>
  <si>
    <t>EQ-261</t>
  </si>
  <si>
    <t>EQ-262</t>
  </si>
  <si>
    <t>EQ-263</t>
  </si>
  <si>
    <t>EQ-264</t>
  </si>
  <si>
    <t>EQ-265</t>
  </si>
  <si>
    <t>EQ-266</t>
  </si>
  <si>
    <t>CAJA PC1</t>
  </si>
  <si>
    <t>SHEYLA</t>
  </si>
  <si>
    <t>EQ-267</t>
  </si>
  <si>
    <t>EQ-268</t>
  </si>
  <si>
    <t>EQ-269</t>
  </si>
  <si>
    <t>GENIUS</t>
  </si>
  <si>
    <t>EQ-270</t>
  </si>
  <si>
    <t>EQ-271</t>
  </si>
  <si>
    <t>EQ-272</t>
  </si>
  <si>
    <t>EQ-273</t>
  </si>
  <si>
    <t>EQ-274</t>
  </si>
  <si>
    <t>CAJA PC2</t>
  </si>
  <si>
    <t>MARIA</t>
  </si>
  <si>
    <t>EQ-275</t>
  </si>
  <si>
    <t>EQ-276</t>
  </si>
  <si>
    <t>EQ-277</t>
  </si>
  <si>
    <t>EQ-278</t>
  </si>
  <si>
    <t>EQ-279</t>
  </si>
  <si>
    <t>EQ-280</t>
  </si>
  <si>
    <t>EQ-281</t>
  </si>
  <si>
    <t>ENFERMERIA</t>
  </si>
  <si>
    <t xml:space="preserve">KATERIN </t>
  </si>
  <si>
    <t>EQ-282</t>
  </si>
  <si>
    <t>DELL3050</t>
  </si>
  <si>
    <t>EQ-283</t>
  </si>
  <si>
    <t>EQ-284</t>
  </si>
  <si>
    <t>EQ-285</t>
  </si>
  <si>
    <t>FORZA NT SERIES 750V [260321500957]</t>
  </si>
  <si>
    <t>EQ-286</t>
  </si>
  <si>
    <t>EQ-287</t>
  </si>
  <si>
    <t>CALIDAD DIRECTORA</t>
  </si>
  <si>
    <t>ANYOLI</t>
  </si>
  <si>
    <t>EQ-288</t>
  </si>
  <si>
    <t>EQ-289</t>
  </si>
  <si>
    <t>EQ-290</t>
  </si>
  <si>
    <t>EQ-291</t>
  </si>
  <si>
    <t>EQ-292</t>
  </si>
  <si>
    <t>EQ-293</t>
  </si>
  <si>
    <t>FORZA</t>
  </si>
  <si>
    <t>EQ-294</t>
  </si>
  <si>
    <t>EQ-295</t>
  </si>
  <si>
    <t xml:space="preserve">DIRECTORA DE CLINICA </t>
  </si>
  <si>
    <t>MARIA / NAYMA</t>
  </si>
  <si>
    <t>EQ-296</t>
  </si>
  <si>
    <t>DIRECTORA DE CLINICA</t>
  </si>
  <si>
    <t>EQ-297</t>
  </si>
  <si>
    <t>RICOH C2000</t>
  </si>
  <si>
    <t>EQ-298</t>
  </si>
  <si>
    <t>FORZA NT SERIES 750V [260321500876]</t>
  </si>
  <si>
    <t>EQ-299</t>
  </si>
  <si>
    <t>EQ-300</t>
  </si>
  <si>
    <t>EQ-301</t>
  </si>
  <si>
    <t>EQ-302</t>
  </si>
  <si>
    <t>EQ-303</t>
  </si>
  <si>
    <t>EQ-304</t>
  </si>
  <si>
    <t>EQ-305</t>
  </si>
  <si>
    <t>SECRETARIA  DE CLINICA</t>
  </si>
  <si>
    <t>JOSAURY</t>
  </si>
  <si>
    <t>EQ-306</t>
  </si>
  <si>
    <t>EQ-307</t>
  </si>
  <si>
    <t>EQ-308</t>
  </si>
  <si>
    <t>EQ-309</t>
  </si>
  <si>
    <t>EQ-310</t>
  </si>
  <si>
    <t>EQ-311</t>
  </si>
  <si>
    <t>EQ-312</t>
  </si>
  <si>
    <t>CLINICA C DOCTORES</t>
  </si>
  <si>
    <t>NAYMA TAYNETT / MARIA SALCEDO</t>
  </si>
  <si>
    <t>EQ-313</t>
  </si>
  <si>
    <t>EQ-314</t>
  </si>
  <si>
    <t>EQ-315</t>
  </si>
  <si>
    <t>EQ-316</t>
  </si>
  <si>
    <t>EQ-317</t>
  </si>
  <si>
    <t>EQ-318</t>
  </si>
  <si>
    <t>CLINICA B MATERIALES</t>
  </si>
  <si>
    <t>WANDA</t>
  </si>
  <si>
    <t>EQ-319</t>
  </si>
  <si>
    <t>EQ-320</t>
  </si>
  <si>
    <t>EQ-321</t>
  </si>
  <si>
    <t>FORZA NT SERIES 750V [250821504130]</t>
  </si>
  <si>
    <t>EQ-322</t>
  </si>
  <si>
    <t>EQ-323</t>
  </si>
  <si>
    <t>CLINICA C MATERIALES</t>
  </si>
  <si>
    <t>CHARI</t>
  </si>
  <si>
    <t>EQ-325</t>
  </si>
  <si>
    <t>EQ-326</t>
  </si>
  <si>
    <t>EQ-327</t>
  </si>
  <si>
    <t>FORZA NT SERIES 750V [250821504132]</t>
  </si>
  <si>
    <t>EQ-328</t>
  </si>
  <si>
    <t>CLINICA E MATERIALES</t>
  </si>
  <si>
    <t>BRE NUC BRE N6M</t>
  </si>
  <si>
    <t>YENNY SOSA</t>
  </si>
  <si>
    <t>EQ-329</t>
  </si>
  <si>
    <t>LENOVO THINKVISIONE2224</t>
  </si>
  <si>
    <t>EQ-330</t>
  </si>
  <si>
    <t>EQ-331</t>
  </si>
  <si>
    <t>EQ-332</t>
  </si>
  <si>
    <t>FORZA NT SERIES 750V [250821504131]</t>
  </si>
  <si>
    <t>EQ-333</t>
  </si>
  <si>
    <t>CLINICA F MATERIALES</t>
  </si>
  <si>
    <t>MERLYN RAMOS</t>
  </si>
  <si>
    <t>EQ-334</t>
  </si>
  <si>
    <t>EQ-335</t>
  </si>
  <si>
    <t>EQ-336</t>
  </si>
  <si>
    <t>EQ-337</t>
  </si>
  <si>
    <t>FORZA NT SERIES 750V [260321500059]</t>
  </si>
  <si>
    <t>EQ-338</t>
  </si>
  <si>
    <t>EQ-339</t>
  </si>
  <si>
    <t>VICRRECTOR PRESIDENTE</t>
  </si>
  <si>
    <t>ALEXI FERMIN</t>
  </si>
  <si>
    <t>EQ-340</t>
  </si>
  <si>
    <t>TODO EN UNO</t>
  </si>
  <si>
    <t>EQ-341</t>
  </si>
  <si>
    <t>GARITA</t>
  </si>
  <si>
    <t>SAMSUNG A22</t>
  </si>
  <si>
    <t>4GB</t>
  </si>
  <si>
    <t>128GB</t>
  </si>
  <si>
    <t>PAPITO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</si>
</sst>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FFFFF"/>
      <name val="Arial"/>
    </font>
    <font>
      <color rgb="FF000000"/>
      <name val="Arial"/>
    </font>
    <font>
      <color theme="1"/>
      <name val="Arial"/>
    </font>
    <font>
      <color rgb="FF000000"/>
      <name val="Arial"/>
      <scheme val="minor"/>
    </font>
    <font>
      <color theme="1"/>
      <name val="Arial"/>
      <scheme val="minor"/>
    </font>
    <font/>
    <font>
      <color rgb="FFCC0000"/>
      <name val="Arial"/>
    </font>
    <font>
      <b/>
      <sz val="14.0"/>
      <color rgb="FF000000"/>
      <name val="Arial"/>
      <scheme val="minor"/>
    </font>
    <font>
      <b/>
      <sz val="20.0"/>
      <color rgb="FF000000"/>
      <name val="Arial"/>
    </font>
    <font>
      <color rgb="FF38761D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0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horizontal="center" vertical="bottom"/>
    </xf>
    <xf borderId="0" fillId="3" fontId="2" numFmtId="0" xfId="0" applyAlignment="1" applyFill="1" applyFont="1">
      <alignment horizontal="center" readingOrder="0" vertical="bottom"/>
    </xf>
    <xf borderId="0" fillId="3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1" fillId="0" fontId="6" numFmtId="0" xfId="0" applyBorder="1" applyFont="1"/>
    <xf borderId="0" fillId="3" fontId="3" numFmtId="0" xfId="0" applyAlignment="1" applyFill="1" applyFont="1">
      <alignment horizontal="center" vertical="bottom"/>
    </xf>
    <xf borderId="0" fillId="3" fontId="7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2" fillId="4" fontId="8" numFmtId="0" xfId="0" applyAlignment="1" applyBorder="1" applyFill="1" applyFont="1">
      <alignment horizontal="center" readingOrder="0"/>
    </xf>
    <xf borderId="3" fillId="4" fontId="6" numFmtId="0" xfId="0" applyBorder="1" applyFill="1" applyFont="1"/>
    <xf borderId="4" fillId="4" fontId="8" numFmtId="0" xfId="0" applyAlignment="1" applyBorder="1" applyFill="1" applyFont="1">
      <alignment horizontal="center" readingOrder="0"/>
    </xf>
    <xf borderId="2" fillId="3" fontId="9" numFmtId="0" xfId="0" applyAlignment="1" applyBorder="1" applyFill="1" applyFont="1">
      <alignment horizontal="center" readingOrder="0" shrinkToFit="0" vertical="center" wrapText="1"/>
    </xf>
    <xf borderId="3" fillId="3" fontId="6" numFmtId="0" xfId="0" applyBorder="1" applyFill="1" applyFont="1"/>
    <xf borderId="4" fillId="3" fontId="9" numFmtId="0" xfId="0" applyAlignment="1" applyBorder="1" applyFill="1" applyFont="1">
      <alignment horizontal="center" readingOrder="0" shrinkToFit="0" vertical="center" wrapText="1"/>
    </xf>
    <xf borderId="4" fillId="3" fontId="9" numFmtId="0" xfId="0" applyAlignment="1" applyBorder="1" applyFill="1" applyFont="1">
      <alignment horizontal="center" readingOrder="0" vertical="center"/>
    </xf>
    <xf borderId="0" fillId="3" fontId="3" numFmtId="0" xfId="0" applyAlignment="1" applyFill="1" applyFont="1">
      <alignment horizontal="center"/>
    </xf>
    <xf borderId="0" fillId="3" fontId="10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/>
    </xf>
    <xf borderId="0" fillId="4" fontId="3" numFmtId="0" xfId="0" applyAlignment="1" applyFill="1" applyFont="1">
      <alignment horizontal="center" vertical="bottom"/>
    </xf>
    <xf borderId="5" fillId="3" fontId="2" numFmtId="0" xfId="0" applyAlignment="1" applyBorder="1" applyFill="1" applyFont="1">
      <alignment horizontal="center" readingOrder="0" shrinkToFit="0" vertical="center" wrapText="1"/>
    </xf>
    <xf borderId="5" fillId="3" fontId="6" numFmtId="0" xfId="0" applyBorder="1" applyFill="1" applyFont="1"/>
    <xf borderId="5" fillId="3" fontId="4" numFmtId="0" xfId="0" applyAlignment="1" applyBorder="1" applyFill="1" applyFont="1">
      <alignment horizontal="center" readingOrder="0"/>
    </xf>
    <xf borderId="5" fillId="3" fontId="4" numFmtId="0" xfId="0" applyAlignment="1" applyBorder="1" applyFill="1" applyFont="1">
      <alignment horizontal="center"/>
    </xf>
    <xf borderId="5" fillId="0" fontId="6" numFmtId="0" xfId="0" applyBorder="1" applyFont="1"/>
    <xf borderId="6" fillId="3" fontId="3" numFmtId="0" xfId="0" applyAlignment="1" applyBorder="1" applyFill="1" applyFont="1">
      <alignment horizontal="center" vertical="bottom"/>
    </xf>
    <xf borderId="6" fillId="0" fontId="6" numFmtId="0" xfId="0" applyBorder="1" applyFont="1"/>
    <xf borderId="6" fillId="3" fontId="4" numFmtId="0" xfId="0" applyAlignment="1" applyBorder="1" applyFill="1" applyFont="1">
      <alignment horizontal="center"/>
    </xf>
    <xf borderId="6" fillId="3" fontId="4" numFmtId="0" xfId="0" applyAlignment="1" applyBorder="1" applyFill="1" applyFont="1">
      <alignment horizontal="center" readingOrder="0"/>
    </xf>
    <xf borderId="6" fillId="3" fontId="5" numFmtId="0" xfId="0" applyAlignment="1" applyBorder="1" applyFill="1" applyFont="1">
      <alignment horizontal="center" readingOrder="0"/>
    </xf>
    <xf borderId="5" fillId="3" fontId="3" numFmtId="0" xfId="0" applyAlignment="1" applyBorder="1" applyFill="1" applyFont="1">
      <alignment horizontal="center" vertical="bottom"/>
    </xf>
    <xf borderId="5" fillId="3" fontId="5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center" vertical="bottom"/>
    </xf>
    <xf borderId="6" fillId="3" fontId="2" numFmtId="0" xfId="0" applyAlignment="1" applyBorder="1" applyFill="1" applyFont="1">
      <alignment horizontal="center" readingOrder="0" shrinkToFit="0" vertical="center" wrapText="1"/>
    </xf>
    <xf borderId="6" fillId="4" fontId="6" numFmtId="0" xfId="0" applyBorder="1" applyFill="1" applyFont="1"/>
    <xf borderId="6" fillId="3" fontId="3" numFmtId="0" xfId="0" applyAlignment="1" applyBorder="1" applyFill="1" applyFont="1">
      <alignment horizontal="center" readingOrder="0" vertical="bottom"/>
    </xf>
    <xf borderId="6" fillId="3" fontId="2" numFmtId="0" xfId="0" applyAlignment="1" applyBorder="1" applyFill="1" applyFont="1">
      <alignment horizontal="center" readingOrder="0" vertical="bottom"/>
    </xf>
    <xf borderId="5" fillId="4" fontId="6" numFmtId="0" xfId="0" applyBorder="1" applyFill="1" applyFont="1"/>
    <xf borderId="5" fillId="3" fontId="2" numFmtId="0" xfId="0" applyAlignment="1" applyBorder="1" applyFill="1" applyFont="1">
      <alignment horizontal="center" vertical="bottom"/>
    </xf>
    <xf borderId="6" fillId="3" fontId="2" numFmtId="0" xfId="0" applyAlignment="1" applyBorder="1" applyFill="1" applyFont="1">
      <alignment horizontal="center" vertical="bottom"/>
    </xf>
    <xf borderId="5" fillId="3" fontId="4" numFmtId="0" xfId="0" applyAlignment="1" applyBorder="1" applyFill="1" applyFont="1">
      <alignment horizontal="center" readingOrder="0"/>
    </xf>
    <xf borderId="7" fillId="0" fontId="6" numFmtId="0" xfId="0" applyBorder="1" applyFont="1"/>
    <xf borderId="8" fillId="0" fontId="6" numFmtId="0" xfId="0" applyBorder="1" applyFont="1"/>
    <xf borderId="0" fillId="3" fontId="3" numFmtId="0" xfId="0" applyAlignment="1" applyFill="1" applyFont="1">
      <alignment horizontal="center" readingOrder="0" vertical="bottom"/>
    </xf>
    <xf borderId="5" fillId="3" fontId="3" numFmtId="0" xfId="0" applyAlignment="1" applyBorder="1" applyFill="1" applyFont="1">
      <alignment horizontal="center" readingOrder="0" vertical="bottom"/>
    </xf>
    <xf borderId="5" fillId="3" fontId="3" numFmtId="0" xfId="0" applyAlignment="1" applyBorder="1" applyFill="1" applyFont="1">
      <alignment horizontal="center" readingOrder="0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ill="1" applyFont="1">
      <alignment readingOrder="0" vertical="bottom"/>
    </xf>
    <xf borderId="0" fillId="4" fontId="3" numFmtId="0" xfId="0" applyAlignment="1" applyFill="1" applyFont="1">
      <alignment horizontal="center" readingOrder="0" vertical="bottom"/>
    </xf>
    <xf borderId="0" fillId="4" fontId="5" numFmtId="0" xfId="0" applyAlignment="1" applyFill="1" applyFont="1">
      <alignment readingOrder="0"/>
    </xf>
    <xf borderId="0" fillId="3" fontId="5" numFmtId="0" xfId="0" applyAlignment="1" applyFill="1" applyFont="1">
      <alignment readingOrder="0"/>
    </xf>
    <xf borderId="6" fillId="3" fontId="6" numFmtId="0" xfId="0" applyBorder="1" applyFill="1" applyFont="1"/>
    <xf borderId="5" fillId="3" fontId="5" numFmtId="0" xfId="0" applyAlignment="1" applyBorder="1" applyFill="1" applyFont="1">
      <alignment horizontal="center"/>
    </xf>
    <xf borderId="9" fillId="0" fontId="5" numFmtId="0" xfId="0" applyAlignment="1" applyBorder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5" fillId="4" fontId="3" numFmtId="0" xfId="0" applyAlignment="1" applyBorder="1" applyFill="1" applyFont="1">
      <alignment horizontal="center" vertical="bottom"/>
    </xf>
    <xf borderId="0" fillId="0" fontId="5" numFmtId="0" xfId="0" applyAlignment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5" numFmtId="0" xfId="0" applyAlignment="1" applyFont="1">
      <alignment horizontal="center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Border="1" applyFont="1"/>
    <xf borderId="6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0" fillId="0" fontId="3" numFmtId="0" xfId="0" applyAlignment="1" applyFont="1">
      <alignment horizontal="center" vertical="bottom"/>
    </xf>
    <xf borderId="6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3" fontId="1" numFmtId="0" xfId="0" applyAlignment="1" applyFill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1.13"/>
    <col customWidth="1" min="2" max="2" width="29.0"/>
    <col customWidth="1" min="3" max="3" width="20.25"/>
    <col customWidth="1" min="4" max="4" width="14.5"/>
    <col customWidth="1" min="5" max="5" width="43.25"/>
    <col customWidth="1" min="6" max="6" width="15.38"/>
    <col customWidth="1" min="8" max="8" width="20.38"/>
    <col customWidth="1" min="9" max="9" width="13.75"/>
    <col customWidth="1" min="10" max="10" width="17.25"/>
    <col customWidth="1" min="11" max="11" width="29.88"/>
  </cols>
  <sheetData>
    <row r="1">
      <c r="A1" s="11" t="s">
        <v>18</v>
      </c>
    </row>
    <row r="3">
      <c r="A3" s="12" t="s">
        <v>19</v>
      </c>
      <c r="B3" s="13"/>
      <c r="C3" s="14" t="s">
        <v>12</v>
      </c>
      <c r="D3" s="14" t="s">
        <v>20</v>
      </c>
      <c r="E3" s="14" t="s">
        <v>21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  <c r="K3" s="14" t="s">
        <v>27</v>
      </c>
      <c r="L3" s="14" t="s">
        <v>28</v>
      </c>
      <c r="M3" s="12" t="s">
        <v>29</v>
      </c>
      <c r="N3" s="13"/>
    </row>
    <row r="4" ht="29.25" customHeight="1">
      <c r="A4" s="15">
        <f>SUM(I6:I994)</f>
        <v>390</v>
      </c>
      <c r="B4" s="16"/>
      <c r="C4" s="17">
        <f>SUMIF(D6:D424, "CPU", I6:AA424)</f>
        <v>57</v>
      </c>
      <c r="D4" s="17">
        <f>SUMIF(D6:D424, "MONITOR", I6:AA424)</f>
        <v>59</v>
      </c>
      <c r="E4" s="17">
        <f>SUMIF(D6:D424, "IMPRESORA", I6:AA424)</f>
        <v>25</v>
      </c>
      <c r="F4" s="17">
        <f>SUMIF(D6:D424, "UPS", I6:AA424)</f>
        <v>49</v>
      </c>
      <c r="G4" s="17">
        <f>SUMIF(D6:D424, "TECLADO", I6:AA424)</f>
        <v>57</v>
      </c>
      <c r="H4" s="17">
        <f>SUMIF(D6:D424, "MOUSE", I6:AA424)</f>
        <v>58</v>
      </c>
      <c r="I4" s="17">
        <f>SUMIF(D6:D424, "TELEFONO", I6:AA424)</f>
        <v>31</v>
      </c>
      <c r="J4" s="17">
        <f>SUMIF(D6:D424, "CAMARA", I6:AA424)</f>
        <v>13</v>
      </c>
      <c r="K4" s="18">
        <f>SUMIF(D6:D424, "LAPTOP", I6:AA424)</f>
        <v>5</v>
      </c>
      <c r="L4" s="17">
        <f>SUMIF(D6:D424, "BOCINAS", I6:AA424) + SUMIF(D6:D424, "HEADSET", I6:I424)</f>
        <v>24</v>
      </c>
      <c r="M4" s="15">
        <f>SUMIF(D6:D424, "PROYECTOR", I6:AA424)</f>
        <v>0</v>
      </c>
      <c r="N4" s="16"/>
    </row>
    <row r="5" ht="29.25" customHeight="1">
      <c r="A5" s="1" t="s">
        <v>0</v>
      </c>
      <c r="B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>
      <c r="A6" s="2" t="s">
        <v>30</v>
      </c>
      <c r="B6" s="2" t="s">
        <v>11</v>
      </c>
      <c r="D6" s="19" t="s">
        <v>27</v>
      </c>
      <c r="E6" s="2" t="s">
        <v>31</v>
      </c>
      <c r="F6" s="2" t="s">
        <v>32</v>
      </c>
      <c r="G6" s="2" t="s">
        <v>33</v>
      </c>
      <c r="H6" s="2" t="s">
        <v>34</v>
      </c>
      <c r="I6" s="6">
        <v>1.0</v>
      </c>
      <c r="J6" s="20" t="s">
        <v>35</v>
      </c>
      <c r="K6" s="2" t="s">
        <v>36</v>
      </c>
    </row>
    <row r="7">
      <c r="A7" s="2" t="s">
        <v>37</v>
      </c>
      <c r="B7" s="2" t="s">
        <v>11</v>
      </c>
      <c r="D7" s="3" t="s">
        <v>25</v>
      </c>
      <c r="E7" s="3" t="s">
        <v>38</v>
      </c>
      <c r="F7" s="2"/>
      <c r="G7" s="2" t="s">
        <v>39</v>
      </c>
      <c r="H7" s="2" t="s">
        <v>40</v>
      </c>
      <c r="I7" s="6">
        <v>1.0</v>
      </c>
      <c r="J7" s="10" t="s">
        <v>35</v>
      </c>
      <c r="K7" s="2" t="s">
        <v>41</v>
      </c>
    </row>
    <row r="8">
      <c r="A8" s="2" t="s">
        <v>42</v>
      </c>
      <c r="B8" s="2" t="s">
        <v>11</v>
      </c>
      <c r="D8" s="3" t="s">
        <v>25</v>
      </c>
      <c r="E8" s="3" t="s">
        <v>43</v>
      </c>
      <c r="F8" s="2"/>
      <c r="G8" s="7" t="s">
        <v>44</v>
      </c>
      <c r="H8" s="2" t="s">
        <v>40</v>
      </c>
      <c r="I8" s="6">
        <v>1.0</v>
      </c>
      <c r="J8" s="10" t="s">
        <v>35</v>
      </c>
      <c r="K8" s="2" t="s">
        <v>36</v>
      </c>
    </row>
    <row r="9">
      <c r="A9" s="2" t="s">
        <v>45</v>
      </c>
      <c r="B9" s="2" t="s">
        <v>11</v>
      </c>
      <c r="D9" s="3" t="s">
        <v>46</v>
      </c>
      <c r="E9" s="9" t="s">
        <v>47</v>
      </c>
      <c r="F9" s="2"/>
      <c r="G9" s="2"/>
      <c r="H9" s="2"/>
      <c r="I9" s="6">
        <v>1.0</v>
      </c>
      <c r="J9" s="10" t="s">
        <v>35</v>
      </c>
      <c r="K9" s="2" t="s">
        <v>36</v>
      </c>
    </row>
    <row r="10">
      <c r="A10" s="2" t="s">
        <v>48</v>
      </c>
      <c r="B10" s="2" t="s">
        <v>11</v>
      </c>
      <c r="D10" s="2" t="s">
        <v>27</v>
      </c>
      <c r="E10" s="2" t="s">
        <v>49</v>
      </c>
      <c r="F10" s="2" t="s">
        <v>50</v>
      </c>
      <c r="G10" s="2" t="s">
        <v>14</v>
      </c>
      <c r="H10" s="2" t="s">
        <v>15</v>
      </c>
      <c r="I10" s="6">
        <v>1.0</v>
      </c>
      <c r="J10" s="10" t="s">
        <v>51</v>
      </c>
      <c r="K10" s="2" t="s">
        <v>11</v>
      </c>
    </row>
    <row r="11">
      <c r="A11" s="2" t="s">
        <v>52</v>
      </c>
      <c r="B11" s="2" t="s">
        <v>11</v>
      </c>
      <c r="D11" s="19" t="s">
        <v>27</v>
      </c>
      <c r="E11" s="2" t="s">
        <v>49</v>
      </c>
      <c r="F11" s="2" t="s">
        <v>50</v>
      </c>
      <c r="G11" s="2" t="s">
        <v>14</v>
      </c>
      <c r="H11" s="2" t="s">
        <v>15</v>
      </c>
      <c r="I11" s="6">
        <v>1.0</v>
      </c>
      <c r="J11" s="10" t="s">
        <v>35</v>
      </c>
      <c r="K11" s="2" t="s">
        <v>53</v>
      </c>
    </row>
    <row r="12">
      <c r="A12" s="2" t="s">
        <v>54</v>
      </c>
      <c r="B12" s="2" t="s">
        <v>11</v>
      </c>
      <c r="D12" s="2" t="s">
        <v>12</v>
      </c>
      <c r="E12" s="2" t="s">
        <v>55</v>
      </c>
      <c r="F12" s="2" t="s">
        <v>56</v>
      </c>
      <c r="G12" s="2" t="s">
        <v>33</v>
      </c>
      <c r="H12" s="2" t="s">
        <v>15</v>
      </c>
      <c r="I12" s="6">
        <v>1.0</v>
      </c>
      <c r="J12" s="20" t="s">
        <v>35</v>
      </c>
      <c r="K12" s="2" t="s">
        <v>41</v>
      </c>
    </row>
    <row r="13">
      <c r="A13" s="2" t="s">
        <v>57</v>
      </c>
      <c r="B13" s="2" t="s">
        <v>11</v>
      </c>
      <c r="D13" s="2" t="s">
        <v>20</v>
      </c>
      <c r="E13" s="2" t="s">
        <v>58</v>
      </c>
      <c r="F13" s="21"/>
      <c r="G13" s="21"/>
      <c r="H13" s="21"/>
      <c r="I13" s="6">
        <v>1.0</v>
      </c>
      <c r="J13" s="20" t="s">
        <v>35</v>
      </c>
      <c r="K13" s="2" t="s">
        <v>41</v>
      </c>
    </row>
    <row r="14">
      <c r="A14" s="2" t="s">
        <v>59</v>
      </c>
      <c r="B14" s="2" t="s">
        <v>11</v>
      </c>
      <c r="D14" s="2" t="s">
        <v>20</v>
      </c>
      <c r="E14" s="2" t="s">
        <v>60</v>
      </c>
      <c r="F14" s="21"/>
      <c r="G14" s="21"/>
      <c r="H14" s="21"/>
      <c r="I14" s="6">
        <v>1.0</v>
      </c>
      <c r="J14" s="20" t="s">
        <v>35</v>
      </c>
      <c r="K14" s="2" t="s">
        <v>41</v>
      </c>
    </row>
    <row r="15">
      <c r="A15" s="2" t="s">
        <v>61</v>
      </c>
      <c r="B15" s="2" t="s">
        <v>11</v>
      </c>
      <c r="D15" s="2" t="s">
        <v>28</v>
      </c>
      <c r="E15" s="2" t="s">
        <v>62</v>
      </c>
      <c r="F15" s="22"/>
      <c r="G15" s="22"/>
      <c r="H15" s="22"/>
      <c r="I15" s="6">
        <v>1.0</v>
      </c>
      <c r="J15" s="20" t="s">
        <v>35</v>
      </c>
      <c r="K15" s="6" t="s">
        <v>41</v>
      </c>
    </row>
    <row r="16">
      <c r="A16" s="2" t="s">
        <v>63</v>
      </c>
      <c r="B16" s="2" t="s">
        <v>11</v>
      </c>
      <c r="D16" s="23" t="s">
        <v>23</v>
      </c>
      <c r="E16" s="2" t="s">
        <v>64</v>
      </c>
      <c r="F16" s="22"/>
      <c r="G16" s="22"/>
      <c r="H16" s="22"/>
      <c r="I16" s="6">
        <v>1.0</v>
      </c>
      <c r="J16" s="20" t="s">
        <v>35</v>
      </c>
      <c r="K16" s="6" t="s">
        <v>41</v>
      </c>
    </row>
    <row r="17">
      <c r="A17" s="2" t="s">
        <v>65</v>
      </c>
      <c r="B17" s="2" t="s">
        <v>11</v>
      </c>
      <c r="D17" s="2" t="s">
        <v>24</v>
      </c>
      <c r="E17" s="2" t="s">
        <v>66</v>
      </c>
      <c r="F17" s="22"/>
      <c r="G17" s="22"/>
      <c r="H17" s="22"/>
      <c r="I17" s="6">
        <v>1.0</v>
      </c>
      <c r="J17" s="20" t="s">
        <v>35</v>
      </c>
      <c r="K17" s="6" t="s">
        <v>41</v>
      </c>
    </row>
    <row r="18">
      <c r="A18" s="2" t="s">
        <v>67</v>
      </c>
      <c r="B18" s="2" t="s">
        <v>11</v>
      </c>
      <c r="D18" s="2" t="s">
        <v>26</v>
      </c>
      <c r="E18" s="2" t="s">
        <v>68</v>
      </c>
      <c r="F18" s="22"/>
      <c r="G18" s="22"/>
      <c r="H18" s="22"/>
      <c r="I18" s="6">
        <v>1.0</v>
      </c>
      <c r="J18" s="6" t="s">
        <v>35</v>
      </c>
      <c r="K18" s="6" t="s">
        <v>41</v>
      </c>
    </row>
    <row r="19">
      <c r="A19" s="2" t="s">
        <v>69</v>
      </c>
      <c r="B19" s="2" t="s">
        <v>11</v>
      </c>
      <c r="D19" s="2" t="s">
        <v>25</v>
      </c>
      <c r="E19" s="6" t="s">
        <v>70</v>
      </c>
      <c r="F19" s="22"/>
      <c r="G19" s="22"/>
      <c r="H19" s="22"/>
      <c r="I19" s="6">
        <v>1.0</v>
      </c>
      <c r="J19" s="6" t="s">
        <v>35</v>
      </c>
      <c r="K19" s="6" t="s">
        <v>41</v>
      </c>
    </row>
    <row r="20">
      <c r="A20" s="2" t="s">
        <v>71</v>
      </c>
      <c r="B20" s="2" t="s">
        <v>11</v>
      </c>
      <c r="D20" s="2" t="s">
        <v>72</v>
      </c>
      <c r="E20" s="2" t="s">
        <v>73</v>
      </c>
      <c r="F20" s="22"/>
      <c r="G20" s="22"/>
      <c r="H20" s="22"/>
      <c r="I20" s="6">
        <v>1.0</v>
      </c>
      <c r="J20" s="6" t="s">
        <v>35</v>
      </c>
      <c r="K20" s="6" t="s">
        <v>74</v>
      </c>
    </row>
    <row r="21">
      <c r="A21" s="2" t="s">
        <v>75</v>
      </c>
      <c r="B21" s="2" t="s">
        <v>11</v>
      </c>
      <c r="D21" s="2" t="s">
        <v>12</v>
      </c>
      <c r="E21" s="2" t="s">
        <v>76</v>
      </c>
      <c r="F21" s="2" t="s">
        <v>77</v>
      </c>
      <c r="G21" s="2" t="s">
        <v>14</v>
      </c>
      <c r="H21" s="2" t="s">
        <v>15</v>
      </c>
      <c r="I21" s="6">
        <v>1.0</v>
      </c>
      <c r="J21" s="2" t="s">
        <v>35</v>
      </c>
      <c r="K21" s="2" t="s">
        <v>74</v>
      </c>
    </row>
    <row r="22">
      <c r="A22" s="2" t="s">
        <v>78</v>
      </c>
      <c r="B22" s="2" t="s">
        <v>11</v>
      </c>
      <c r="D22" s="23" t="s">
        <v>23</v>
      </c>
      <c r="E22" s="2" t="s">
        <v>79</v>
      </c>
      <c r="F22" s="21"/>
      <c r="G22" s="21"/>
      <c r="H22" s="21"/>
      <c r="I22" s="6">
        <v>1.0</v>
      </c>
      <c r="J22" s="2" t="s">
        <v>35</v>
      </c>
      <c r="K22" s="2" t="s">
        <v>74</v>
      </c>
    </row>
    <row r="23">
      <c r="A23" s="2" t="s">
        <v>80</v>
      </c>
      <c r="B23" s="2" t="s">
        <v>11</v>
      </c>
      <c r="D23" s="2" t="s">
        <v>24</v>
      </c>
      <c r="E23" s="2" t="s">
        <v>79</v>
      </c>
      <c r="F23" s="22"/>
      <c r="G23" s="22"/>
      <c r="H23" s="22"/>
      <c r="I23" s="6">
        <v>1.0</v>
      </c>
      <c r="J23" s="6" t="s">
        <v>35</v>
      </c>
      <c r="K23" s="6" t="s">
        <v>74</v>
      </c>
    </row>
    <row r="24">
      <c r="A24" s="2" t="s">
        <v>81</v>
      </c>
      <c r="B24" s="2" t="s">
        <v>11</v>
      </c>
      <c r="D24" s="2" t="s">
        <v>20</v>
      </c>
      <c r="E24" s="2" t="s">
        <v>60</v>
      </c>
      <c r="F24" s="22"/>
      <c r="G24" s="22"/>
      <c r="H24" s="22"/>
      <c r="I24" s="6">
        <v>1.0</v>
      </c>
      <c r="J24" s="6" t="s">
        <v>35</v>
      </c>
      <c r="K24" s="6" t="s">
        <v>82</v>
      </c>
    </row>
    <row r="25">
      <c r="A25" s="2" t="s">
        <v>83</v>
      </c>
      <c r="B25" s="2" t="s">
        <v>11</v>
      </c>
      <c r="D25" s="2" t="s">
        <v>12</v>
      </c>
      <c r="E25" s="2" t="s">
        <v>55</v>
      </c>
      <c r="F25" s="22"/>
      <c r="G25" s="6" t="s">
        <v>33</v>
      </c>
      <c r="H25" s="22"/>
      <c r="I25" s="6">
        <v>1.0</v>
      </c>
      <c r="J25" s="6" t="s">
        <v>35</v>
      </c>
      <c r="K25" s="6" t="s">
        <v>82</v>
      </c>
    </row>
    <row r="26">
      <c r="A26" s="2" t="s">
        <v>84</v>
      </c>
      <c r="B26" s="2" t="s">
        <v>11</v>
      </c>
      <c r="D26" s="2" t="s">
        <v>24</v>
      </c>
      <c r="E26" s="2" t="s">
        <v>85</v>
      </c>
      <c r="F26" s="22"/>
      <c r="G26" s="22"/>
      <c r="H26" s="22"/>
      <c r="I26" s="6">
        <v>1.0</v>
      </c>
      <c r="J26" s="6" t="s">
        <v>35</v>
      </c>
      <c r="K26" s="6" t="s">
        <v>82</v>
      </c>
    </row>
    <row r="27">
      <c r="A27" s="2" t="s">
        <v>86</v>
      </c>
      <c r="B27" s="2" t="s">
        <v>11</v>
      </c>
      <c r="D27" s="4" t="s">
        <v>23</v>
      </c>
      <c r="E27" s="2" t="s">
        <v>85</v>
      </c>
      <c r="F27" s="22"/>
      <c r="G27" s="22"/>
      <c r="H27" s="22"/>
      <c r="I27" s="6">
        <v>1.0</v>
      </c>
      <c r="J27" s="6" t="s">
        <v>35</v>
      </c>
      <c r="K27" s="6" t="s">
        <v>82</v>
      </c>
    </row>
    <row r="28">
      <c r="A28" s="2" t="s">
        <v>87</v>
      </c>
      <c r="B28" s="2" t="s">
        <v>11</v>
      </c>
      <c r="D28" s="2" t="s">
        <v>25</v>
      </c>
      <c r="E28" s="2" t="s">
        <v>70</v>
      </c>
      <c r="F28" s="22"/>
      <c r="G28" s="22"/>
      <c r="H28" s="22"/>
      <c r="I28" s="6">
        <v>1.0</v>
      </c>
      <c r="J28" s="6" t="s">
        <v>35</v>
      </c>
      <c r="K28" s="6" t="s">
        <v>82</v>
      </c>
    </row>
    <row r="29">
      <c r="A29" s="2" t="s">
        <v>88</v>
      </c>
      <c r="B29" s="24" t="s">
        <v>11</v>
      </c>
      <c r="C29" s="25"/>
      <c r="D29" s="24" t="s">
        <v>21</v>
      </c>
      <c r="E29" s="26" t="s">
        <v>89</v>
      </c>
      <c r="F29" s="27"/>
      <c r="G29" s="27"/>
      <c r="H29" s="27"/>
      <c r="I29" s="26">
        <v>1.0</v>
      </c>
      <c r="J29" s="26" t="s">
        <v>35</v>
      </c>
      <c r="K29" s="26" t="s">
        <v>11</v>
      </c>
      <c r="L29" s="28"/>
      <c r="M29" s="28"/>
      <c r="N29" s="28"/>
    </row>
    <row r="30">
      <c r="A30" s="2" t="s">
        <v>90</v>
      </c>
      <c r="B30" s="29" t="s">
        <v>91</v>
      </c>
      <c r="C30" s="30"/>
      <c r="D30" s="2" t="s">
        <v>25</v>
      </c>
      <c r="E30" s="29" t="s">
        <v>70</v>
      </c>
      <c r="F30" s="31"/>
      <c r="G30" s="31"/>
      <c r="H30" s="31"/>
      <c r="I30" s="6">
        <v>1.0</v>
      </c>
      <c r="J30" s="32" t="s">
        <v>35</v>
      </c>
      <c r="K30" s="33" t="s">
        <v>92</v>
      </c>
      <c r="L30" s="30"/>
      <c r="M30" s="30"/>
      <c r="N30" s="30"/>
    </row>
    <row r="31">
      <c r="A31" s="2" t="s">
        <v>93</v>
      </c>
      <c r="B31" s="4" t="s">
        <v>91</v>
      </c>
      <c r="D31" s="2" t="s">
        <v>21</v>
      </c>
      <c r="E31" s="3" t="s">
        <v>94</v>
      </c>
      <c r="F31" s="22"/>
      <c r="G31" s="22"/>
      <c r="H31" s="22"/>
      <c r="I31" s="6">
        <v>1.0</v>
      </c>
      <c r="J31" s="6" t="s">
        <v>35</v>
      </c>
      <c r="K31" s="7" t="s">
        <v>92</v>
      </c>
    </row>
    <row r="32">
      <c r="A32" s="2" t="s">
        <v>95</v>
      </c>
      <c r="B32" s="4" t="s">
        <v>91</v>
      </c>
      <c r="D32" s="2" t="s">
        <v>24</v>
      </c>
      <c r="E32" s="4" t="s">
        <v>96</v>
      </c>
      <c r="F32" s="22"/>
      <c r="G32" s="22"/>
      <c r="H32" s="22"/>
      <c r="I32" s="6">
        <v>1.0</v>
      </c>
      <c r="J32" s="6" t="s">
        <v>35</v>
      </c>
      <c r="K32" s="7" t="s">
        <v>92</v>
      </c>
    </row>
    <row r="33">
      <c r="A33" s="2" t="s">
        <v>97</v>
      </c>
      <c r="B33" s="4" t="s">
        <v>91</v>
      </c>
      <c r="D33" s="4" t="s">
        <v>22</v>
      </c>
      <c r="E33" s="3" t="s">
        <v>98</v>
      </c>
      <c r="F33" s="22"/>
      <c r="G33" s="22"/>
      <c r="H33" s="22"/>
      <c r="I33" s="6">
        <v>1.0</v>
      </c>
      <c r="J33" s="6" t="s">
        <v>35</v>
      </c>
      <c r="K33" s="7" t="s">
        <v>92</v>
      </c>
    </row>
    <row r="34">
      <c r="A34" s="2" t="s">
        <v>99</v>
      </c>
      <c r="B34" s="4" t="s">
        <v>91</v>
      </c>
      <c r="D34" s="4" t="s">
        <v>23</v>
      </c>
      <c r="E34" s="4" t="s">
        <v>96</v>
      </c>
      <c r="F34" s="22"/>
      <c r="G34" s="22"/>
      <c r="H34" s="22"/>
      <c r="I34" s="6">
        <v>1.0</v>
      </c>
      <c r="J34" s="6" t="s">
        <v>35</v>
      </c>
      <c r="K34" s="7" t="s">
        <v>92</v>
      </c>
    </row>
    <row r="35">
      <c r="A35" s="2" t="s">
        <v>100</v>
      </c>
      <c r="B35" s="4" t="s">
        <v>91</v>
      </c>
      <c r="D35" s="2" t="s">
        <v>12</v>
      </c>
      <c r="E35" s="3" t="s">
        <v>101</v>
      </c>
      <c r="F35" s="22"/>
      <c r="G35" s="22"/>
      <c r="H35" s="22"/>
      <c r="I35" s="6">
        <v>1.0</v>
      </c>
      <c r="J35" s="6" t="s">
        <v>35</v>
      </c>
      <c r="K35" s="7" t="s">
        <v>92</v>
      </c>
    </row>
    <row r="36">
      <c r="A36" s="2" t="s">
        <v>102</v>
      </c>
      <c r="B36" s="4" t="s">
        <v>91</v>
      </c>
      <c r="D36" s="2" t="s">
        <v>26</v>
      </c>
      <c r="E36" s="4" t="s">
        <v>68</v>
      </c>
      <c r="F36" s="22"/>
      <c r="G36" s="22"/>
      <c r="H36" s="22"/>
      <c r="I36" s="6">
        <v>1.0</v>
      </c>
      <c r="J36" s="6" t="s">
        <v>35</v>
      </c>
      <c r="K36" s="7" t="s">
        <v>92</v>
      </c>
    </row>
    <row r="37">
      <c r="A37" s="2" t="s">
        <v>103</v>
      </c>
      <c r="B37" s="4" t="s">
        <v>91</v>
      </c>
      <c r="D37" s="2" t="s">
        <v>28</v>
      </c>
      <c r="E37" s="4" t="s">
        <v>62</v>
      </c>
      <c r="F37" s="22"/>
      <c r="G37" s="22"/>
      <c r="H37" s="22"/>
      <c r="I37" s="6">
        <v>1.0</v>
      </c>
      <c r="J37" s="6" t="s">
        <v>35</v>
      </c>
      <c r="K37" s="7" t="s">
        <v>92</v>
      </c>
    </row>
    <row r="38">
      <c r="A38" s="2" t="s">
        <v>104</v>
      </c>
      <c r="B38" s="34" t="s">
        <v>91</v>
      </c>
      <c r="C38" s="28"/>
      <c r="D38" s="24" t="s">
        <v>20</v>
      </c>
      <c r="E38" s="34" t="s">
        <v>105</v>
      </c>
      <c r="F38" s="27"/>
      <c r="G38" s="27"/>
      <c r="H38" s="27"/>
      <c r="I38" s="26">
        <v>1.0</v>
      </c>
      <c r="J38" s="26" t="s">
        <v>35</v>
      </c>
      <c r="K38" s="35" t="s">
        <v>92</v>
      </c>
      <c r="L38" s="28"/>
      <c r="M38" s="28"/>
      <c r="N38" s="28"/>
    </row>
    <row r="39">
      <c r="A39" s="2" t="s">
        <v>106</v>
      </c>
      <c r="B39" s="4" t="s">
        <v>107</v>
      </c>
      <c r="D39" s="2" t="s">
        <v>25</v>
      </c>
      <c r="E39" s="4" t="s">
        <v>70</v>
      </c>
      <c r="F39" s="22"/>
      <c r="G39" s="31"/>
      <c r="H39" s="31"/>
      <c r="I39" s="6">
        <v>1.0</v>
      </c>
      <c r="J39" s="32" t="s">
        <v>35</v>
      </c>
      <c r="K39" s="32" t="s">
        <v>108</v>
      </c>
      <c r="L39" s="30"/>
      <c r="M39" s="30"/>
      <c r="N39" s="30"/>
    </row>
    <row r="40">
      <c r="A40" s="2" t="s">
        <v>109</v>
      </c>
      <c r="B40" s="4" t="s">
        <v>107</v>
      </c>
      <c r="D40" s="2" t="s">
        <v>21</v>
      </c>
      <c r="E40" s="7" t="s">
        <v>110</v>
      </c>
      <c r="F40" s="36"/>
      <c r="G40" s="36"/>
      <c r="H40" s="36"/>
      <c r="I40" s="6">
        <v>1.0</v>
      </c>
      <c r="J40" s="6" t="s">
        <v>35</v>
      </c>
      <c r="K40" s="6" t="s">
        <v>108</v>
      </c>
    </row>
    <row r="41">
      <c r="A41" s="2" t="s">
        <v>111</v>
      </c>
      <c r="B41" s="4" t="s">
        <v>107</v>
      </c>
      <c r="D41" s="2" t="s">
        <v>24</v>
      </c>
      <c r="E41" s="4" t="s">
        <v>85</v>
      </c>
      <c r="F41" s="37"/>
      <c r="G41" s="37"/>
      <c r="H41" s="37"/>
      <c r="I41" s="6">
        <v>1.0</v>
      </c>
      <c r="J41" s="6" t="s">
        <v>35</v>
      </c>
      <c r="K41" s="6" t="s">
        <v>108</v>
      </c>
    </row>
    <row r="42">
      <c r="A42" s="2" t="s">
        <v>112</v>
      </c>
      <c r="B42" s="4" t="s">
        <v>107</v>
      </c>
      <c r="D42" s="4" t="s">
        <v>23</v>
      </c>
      <c r="E42" s="4" t="s">
        <v>85</v>
      </c>
      <c r="F42" s="37"/>
      <c r="G42" s="37"/>
      <c r="H42" s="37"/>
      <c r="I42" s="6">
        <v>1.0</v>
      </c>
      <c r="J42" s="6" t="s">
        <v>35</v>
      </c>
      <c r="K42" s="6" t="s">
        <v>108</v>
      </c>
    </row>
    <row r="43">
      <c r="A43" s="2" t="s">
        <v>113</v>
      </c>
      <c r="B43" s="4" t="s">
        <v>107</v>
      </c>
      <c r="D43" s="2" t="s">
        <v>12</v>
      </c>
      <c r="E43" s="4" t="s">
        <v>13</v>
      </c>
      <c r="F43" s="37"/>
      <c r="G43" s="5" t="s">
        <v>14</v>
      </c>
      <c r="H43" s="5" t="s">
        <v>15</v>
      </c>
      <c r="I43" s="6">
        <v>1.0</v>
      </c>
      <c r="J43" s="6" t="s">
        <v>35</v>
      </c>
      <c r="K43" s="6" t="s">
        <v>108</v>
      </c>
    </row>
    <row r="44">
      <c r="A44" s="2" t="s">
        <v>114</v>
      </c>
      <c r="B44" s="4" t="s">
        <v>107</v>
      </c>
      <c r="D44" s="2" t="s">
        <v>28</v>
      </c>
      <c r="E44" s="4" t="s">
        <v>62</v>
      </c>
      <c r="F44" s="37"/>
      <c r="G44" s="37"/>
      <c r="H44" s="37"/>
      <c r="I44" s="6">
        <v>1.0</v>
      </c>
      <c r="J44" s="6" t="s">
        <v>35</v>
      </c>
      <c r="K44" s="6" t="s">
        <v>108</v>
      </c>
    </row>
    <row r="45">
      <c r="A45" s="2" t="s">
        <v>115</v>
      </c>
      <c r="B45" s="4" t="s">
        <v>107</v>
      </c>
      <c r="D45" s="4" t="s">
        <v>22</v>
      </c>
      <c r="E45" s="4" t="s">
        <v>116</v>
      </c>
      <c r="F45" s="37"/>
      <c r="G45" s="37"/>
      <c r="H45" s="37"/>
      <c r="I45" s="6">
        <v>1.0</v>
      </c>
      <c r="J45" s="6" t="s">
        <v>35</v>
      </c>
      <c r="K45" s="6" t="s">
        <v>108</v>
      </c>
    </row>
    <row r="46">
      <c r="A46" s="2" t="s">
        <v>117</v>
      </c>
      <c r="B46" s="4" t="s">
        <v>107</v>
      </c>
      <c r="D46" s="2" t="s">
        <v>20</v>
      </c>
      <c r="E46" s="4" t="s">
        <v>118</v>
      </c>
      <c r="F46" s="37"/>
      <c r="G46" s="37"/>
      <c r="H46" s="37"/>
      <c r="I46" s="6">
        <v>1.0</v>
      </c>
      <c r="J46" s="6" t="s">
        <v>35</v>
      </c>
      <c r="K46" s="6" t="s">
        <v>108</v>
      </c>
    </row>
    <row r="47">
      <c r="A47" s="2" t="s">
        <v>119</v>
      </c>
      <c r="B47" s="38" t="s">
        <v>120</v>
      </c>
      <c r="C47" s="39"/>
      <c r="D47" s="38" t="s">
        <v>21</v>
      </c>
      <c r="E47" s="40" t="s">
        <v>121</v>
      </c>
      <c r="F47" s="41"/>
      <c r="G47" s="41"/>
      <c r="H47" s="41"/>
      <c r="I47" s="32">
        <v>1.0</v>
      </c>
      <c r="J47" s="32" t="s">
        <v>35</v>
      </c>
      <c r="K47" s="32" t="s">
        <v>122</v>
      </c>
      <c r="L47" s="30"/>
      <c r="M47" s="30"/>
      <c r="N47" s="30"/>
    </row>
    <row r="48">
      <c r="A48" s="2" t="s">
        <v>123</v>
      </c>
      <c r="B48" s="2" t="s">
        <v>120</v>
      </c>
      <c r="D48" s="2" t="s">
        <v>24</v>
      </c>
      <c r="E48" s="4" t="s">
        <v>124</v>
      </c>
      <c r="F48" s="37"/>
      <c r="G48" s="37"/>
      <c r="H48" s="37"/>
      <c r="I48" s="6">
        <v>1.0</v>
      </c>
      <c r="J48" s="6" t="s">
        <v>35</v>
      </c>
      <c r="K48" s="6" t="s">
        <v>122</v>
      </c>
    </row>
    <row r="49">
      <c r="A49" s="2" t="s">
        <v>125</v>
      </c>
      <c r="B49" s="24" t="s">
        <v>120</v>
      </c>
      <c r="C49" s="42"/>
      <c r="D49" s="24" t="s">
        <v>25</v>
      </c>
      <c r="E49" s="34" t="s">
        <v>70</v>
      </c>
      <c r="F49" s="43"/>
      <c r="G49" s="43"/>
      <c r="H49" s="43"/>
      <c r="I49" s="26">
        <v>1.0</v>
      </c>
      <c r="J49" s="26" t="s">
        <v>35</v>
      </c>
      <c r="K49" s="26" t="s">
        <v>122</v>
      </c>
      <c r="L49" s="28"/>
      <c r="M49" s="28"/>
      <c r="N49" s="28"/>
    </row>
    <row r="50">
      <c r="A50" s="2" t="s">
        <v>126</v>
      </c>
      <c r="B50" s="4" t="s">
        <v>127</v>
      </c>
      <c r="D50" s="2" t="s">
        <v>25</v>
      </c>
      <c r="E50" s="4" t="s">
        <v>70</v>
      </c>
      <c r="F50" s="37"/>
      <c r="G50" s="44"/>
      <c r="H50" s="44"/>
      <c r="I50" s="6">
        <v>1.0</v>
      </c>
      <c r="J50" s="32" t="s">
        <v>35</v>
      </c>
      <c r="K50" s="32" t="s">
        <v>128</v>
      </c>
      <c r="L50" s="30"/>
      <c r="M50" s="30"/>
      <c r="N50" s="30"/>
    </row>
    <row r="51">
      <c r="A51" s="2" t="s">
        <v>129</v>
      </c>
      <c r="B51" s="4" t="s">
        <v>127</v>
      </c>
      <c r="D51" s="2" t="s">
        <v>21</v>
      </c>
      <c r="E51" s="3" t="s">
        <v>130</v>
      </c>
      <c r="F51" s="36"/>
      <c r="G51" s="36"/>
      <c r="H51" s="36"/>
      <c r="I51" s="6">
        <v>1.0</v>
      </c>
      <c r="J51" s="6" t="s">
        <v>35</v>
      </c>
      <c r="K51" s="6" t="s">
        <v>128</v>
      </c>
    </row>
    <row r="52">
      <c r="A52" s="2" t="s">
        <v>131</v>
      </c>
      <c r="B52" s="3" t="s">
        <v>127</v>
      </c>
      <c r="D52" s="2" t="s">
        <v>22</v>
      </c>
      <c r="E52" s="3" t="s">
        <v>132</v>
      </c>
      <c r="F52" s="36"/>
      <c r="G52" s="36"/>
      <c r="H52" s="36"/>
      <c r="I52" s="6">
        <v>1.0</v>
      </c>
      <c r="J52" s="6" t="s">
        <v>35</v>
      </c>
      <c r="K52" s="6" t="s">
        <v>133</v>
      </c>
    </row>
    <row r="53">
      <c r="A53" s="2" t="s">
        <v>134</v>
      </c>
      <c r="B53" s="4" t="s">
        <v>127</v>
      </c>
      <c r="D53" s="2" t="s">
        <v>24</v>
      </c>
      <c r="E53" s="4" t="s">
        <v>124</v>
      </c>
      <c r="F53" s="37"/>
      <c r="G53" s="37"/>
      <c r="H53" s="37"/>
      <c r="I53" s="6">
        <v>1.0</v>
      </c>
      <c r="J53" s="6" t="s">
        <v>35</v>
      </c>
      <c r="K53" s="6" t="s">
        <v>128</v>
      </c>
    </row>
    <row r="54">
      <c r="A54" s="2" t="s">
        <v>135</v>
      </c>
      <c r="B54" s="4" t="s">
        <v>127</v>
      </c>
      <c r="D54" s="4" t="s">
        <v>23</v>
      </c>
      <c r="E54" s="4" t="s">
        <v>124</v>
      </c>
      <c r="F54" s="37"/>
      <c r="G54" s="37"/>
      <c r="H54" s="37"/>
      <c r="I54" s="6">
        <v>1.0</v>
      </c>
      <c r="J54" s="6" t="s">
        <v>35</v>
      </c>
      <c r="K54" s="6" t="s">
        <v>128</v>
      </c>
    </row>
    <row r="55">
      <c r="A55" s="2" t="s">
        <v>136</v>
      </c>
      <c r="B55" s="4" t="s">
        <v>127</v>
      </c>
      <c r="D55" s="2" t="s">
        <v>12</v>
      </c>
      <c r="E55" s="3" t="s">
        <v>101</v>
      </c>
      <c r="F55" s="36"/>
      <c r="G55" s="36"/>
      <c r="H55" s="36"/>
      <c r="I55" s="6">
        <v>1.0</v>
      </c>
      <c r="J55" s="6" t="s">
        <v>35</v>
      </c>
      <c r="K55" s="6" t="s">
        <v>128</v>
      </c>
    </row>
    <row r="56">
      <c r="A56" s="2" t="s">
        <v>137</v>
      </c>
      <c r="B56" s="4" t="s">
        <v>127</v>
      </c>
      <c r="D56" s="2" t="s">
        <v>28</v>
      </c>
      <c r="E56" s="4" t="s">
        <v>138</v>
      </c>
      <c r="F56" s="37"/>
      <c r="G56" s="37"/>
      <c r="H56" s="37"/>
      <c r="I56" s="6">
        <v>1.0</v>
      </c>
      <c r="J56" s="6" t="s">
        <v>35</v>
      </c>
      <c r="K56" s="6" t="s">
        <v>128</v>
      </c>
    </row>
    <row r="57">
      <c r="A57" s="2" t="s">
        <v>139</v>
      </c>
      <c r="B57" s="4" t="s">
        <v>127</v>
      </c>
      <c r="D57" s="4" t="s">
        <v>22</v>
      </c>
      <c r="E57" s="3" t="s">
        <v>140</v>
      </c>
      <c r="F57" s="37"/>
      <c r="G57" s="37"/>
      <c r="H57" s="37"/>
      <c r="I57" s="6">
        <v>1.0</v>
      </c>
      <c r="J57" s="6" t="s">
        <v>35</v>
      </c>
      <c r="K57" s="6" t="s">
        <v>128</v>
      </c>
    </row>
    <row r="58">
      <c r="A58" s="2" t="s">
        <v>141</v>
      </c>
      <c r="B58" s="4" t="s">
        <v>127</v>
      </c>
      <c r="D58" s="2" t="s">
        <v>20</v>
      </c>
      <c r="E58" s="4" t="s">
        <v>142</v>
      </c>
      <c r="F58" s="37"/>
      <c r="G58" s="37"/>
      <c r="H58" s="37"/>
      <c r="I58" s="6">
        <v>1.0</v>
      </c>
      <c r="J58" s="6" t="s">
        <v>35</v>
      </c>
      <c r="K58" s="6" t="s">
        <v>128</v>
      </c>
    </row>
    <row r="59">
      <c r="A59" s="2" t="s">
        <v>143</v>
      </c>
      <c r="B59" s="4" t="s">
        <v>127</v>
      </c>
      <c r="D59" s="2" t="s">
        <v>26</v>
      </c>
      <c r="E59" s="4" t="s">
        <v>68</v>
      </c>
      <c r="F59" s="37"/>
      <c r="G59" s="37"/>
      <c r="H59" s="37"/>
      <c r="I59" s="6">
        <v>1.0</v>
      </c>
      <c r="J59" s="6" t="s">
        <v>35</v>
      </c>
      <c r="K59" s="6" t="s">
        <v>128</v>
      </c>
    </row>
    <row r="60">
      <c r="A60" s="2" t="s">
        <v>144</v>
      </c>
      <c r="B60" s="34" t="s">
        <v>127</v>
      </c>
      <c r="C60" s="25"/>
      <c r="D60" s="26" t="s">
        <v>145</v>
      </c>
      <c r="E60" s="26" t="s">
        <v>146</v>
      </c>
      <c r="F60" s="45"/>
      <c r="G60" s="45"/>
      <c r="H60" s="45"/>
      <c r="I60" s="26">
        <v>1.0</v>
      </c>
      <c r="J60" s="26" t="s">
        <v>35</v>
      </c>
      <c r="K60" s="26" t="s">
        <v>128</v>
      </c>
      <c r="L60" s="28"/>
      <c r="M60" s="28"/>
      <c r="N60" s="28"/>
    </row>
    <row r="61">
      <c r="A61" s="2" t="s">
        <v>147</v>
      </c>
      <c r="B61" s="4" t="s">
        <v>148</v>
      </c>
      <c r="D61" s="2" t="s">
        <v>25</v>
      </c>
      <c r="E61" s="4" t="s">
        <v>70</v>
      </c>
      <c r="F61" s="37"/>
      <c r="G61" s="44"/>
      <c r="H61" s="44"/>
      <c r="I61" s="6">
        <v>1.0</v>
      </c>
      <c r="J61" s="32" t="s">
        <v>35</v>
      </c>
      <c r="K61" s="32" t="s">
        <v>149</v>
      </c>
      <c r="L61" s="30"/>
      <c r="M61" s="30"/>
      <c r="N61" s="46"/>
    </row>
    <row r="62">
      <c r="A62" s="2" t="s">
        <v>150</v>
      </c>
      <c r="B62" s="4" t="s">
        <v>148</v>
      </c>
      <c r="D62" s="2" t="s">
        <v>24</v>
      </c>
      <c r="E62" s="4" t="s">
        <v>124</v>
      </c>
      <c r="F62" s="37"/>
      <c r="G62" s="37"/>
      <c r="H62" s="37"/>
      <c r="I62" s="6">
        <v>1.0</v>
      </c>
      <c r="J62" s="6" t="s">
        <v>35</v>
      </c>
      <c r="K62" s="6" t="s">
        <v>149</v>
      </c>
      <c r="N62" s="8"/>
    </row>
    <row r="63">
      <c r="A63" s="2" t="s">
        <v>151</v>
      </c>
      <c r="B63" s="4" t="s">
        <v>148</v>
      </c>
      <c r="D63" s="23" t="s">
        <v>23</v>
      </c>
      <c r="E63" s="4" t="s">
        <v>124</v>
      </c>
      <c r="F63" s="37"/>
      <c r="G63" s="37"/>
      <c r="H63" s="37"/>
      <c r="I63" s="6">
        <v>1.0</v>
      </c>
      <c r="J63" s="6" t="s">
        <v>35</v>
      </c>
      <c r="K63" s="6" t="s">
        <v>149</v>
      </c>
      <c r="N63" s="8"/>
    </row>
    <row r="64">
      <c r="A64" s="2" t="s">
        <v>152</v>
      </c>
      <c r="B64" s="4" t="s">
        <v>148</v>
      </c>
      <c r="D64" s="2" t="s">
        <v>12</v>
      </c>
      <c r="E64" s="4" t="s">
        <v>13</v>
      </c>
      <c r="F64" s="37"/>
      <c r="G64" s="5" t="s">
        <v>14</v>
      </c>
      <c r="H64" s="5" t="s">
        <v>15</v>
      </c>
      <c r="I64" s="6">
        <v>1.0</v>
      </c>
      <c r="J64" s="6" t="s">
        <v>35</v>
      </c>
      <c r="K64" s="6" t="s">
        <v>149</v>
      </c>
      <c r="N64" s="8"/>
    </row>
    <row r="65">
      <c r="A65" s="2" t="s">
        <v>153</v>
      </c>
      <c r="B65" s="4" t="s">
        <v>148</v>
      </c>
      <c r="D65" s="2" t="s">
        <v>28</v>
      </c>
      <c r="E65" s="4" t="s">
        <v>62</v>
      </c>
      <c r="F65" s="37"/>
      <c r="G65" s="37"/>
      <c r="H65" s="37"/>
      <c r="I65" s="6">
        <v>1.0</v>
      </c>
      <c r="J65" s="6" t="s">
        <v>35</v>
      </c>
      <c r="K65" s="6" t="s">
        <v>149</v>
      </c>
      <c r="N65" s="8"/>
    </row>
    <row r="66">
      <c r="A66" s="2" t="s">
        <v>154</v>
      </c>
      <c r="B66" s="4" t="s">
        <v>148</v>
      </c>
      <c r="D66" s="2" t="s">
        <v>20</v>
      </c>
      <c r="E66" s="4" t="s">
        <v>118</v>
      </c>
      <c r="F66" s="37"/>
      <c r="G66" s="37"/>
      <c r="H66" s="37"/>
      <c r="I66" s="6">
        <v>1.0</v>
      </c>
      <c r="J66" s="6" t="s">
        <v>35</v>
      </c>
      <c r="K66" s="6" t="s">
        <v>149</v>
      </c>
      <c r="N66" s="8"/>
    </row>
    <row r="67">
      <c r="A67" s="2" t="s">
        <v>155</v>
      </c>
      <c r="B67" s="3" t="s">
        <v>148</v>
      </c>
      <c r="D67" s="6" t="s">
        <v>22</v>
      </c>
      <c r="E67" s="3" t="s">
        <v>156</v>
      </c>
      <c r="F67" s="36"/>
      <c r="G67" s="36"/>
      <c r="H67" s="36"/>
      <c r="I67" s="6">
        <v>1.0</v>
      </c>
      <c r="J67" s="6" t="s">
        <v>35</v>
      </c>
      <c r="K67" s="6" t="s">
        <v>149</v>
      </c>
      <c r="N67" s="8"/>
    </row>
    <row r="68">
      <c r="A68" s="2" t="s">
        <v>157</v>
      </c>
      <c r="B68" s="4" t="s">
        <v>148</v>
      </c>
      <c r="D68" s="6" t="s">
        <v>145</v>
      </c>
      <c r="E68" s="3" t="s">
        <v>146</v>
      </c>
      <c r="F68" s="36"/>
      <c r="G68" s="36"/>
      <c r="H68" s="36"/>
      <c r="I68" s="6">
        <v>1.0</v>
      </c>
      <c r="J68" s="6" t="s">
        <v>35</v>
      </c>
      <c r="K68" s="6" t="s">
        <v>158</v>
      </c>
      <c r="N68" s="8"/>
    </row>
    <row r="69">
      <c r="A69" s="2" t="s">
        <v>159</v>
      </c>
      <c r="B69" s="4" t="s">
        <v>160</v>
      </c>
      <c r="D69" s="2" t="s">
        <v>25</v>
      </c>
      <c r="E69" s="4" t="s">
        <v>161</v>
      </c>
      <c r="F69" s="37"/>
      <c r="G69" s="37"/>
      <c r="H69" s="37"/>
      <c r="I69" s="6">
        <v>1.0</v>
      </c>
      <c r="J69" s="6" t="s">
        <v>35</v>
      </c>
      <c r="K69" s="6" t="s">
        <v>162</v>
      </c>
      <c r="N69" s="8"/>
    </row>
    <row r="70">
      <c r="A70" s="2" t="s">
        <v>163</v>
      </c>
      <c r="B70" s="4" t="s">
        <v>160</v>
      </c>
      <c r="D70" s="2" t="s">
        <v>24</v>
      </c>
      <c r="E70" s="4" t="s">
        <v>85</v>
      </c>
      <c r="F70" s="37"/>
      <c r="G70" s="37"/>
      <c r="H70" s="37"/>
      <c r="I70" s="6">
        <v>1.0</v>
      </c>
      <c r="J70" s="6" t="s">
        <v>35</v>
      </c>
      <c r="K70" s="6" t="s">
        <v>164</v>
      </c>
      <c r="N70" s="8"/>
    </row>
    <row r="71">
      <c r="A71" s="2" t="s">
        <v>165</v>
      </c>
      <c r="B71" s="4" t="s">
        <v>160</v>
      </c>
      <c r="D71" s="23" t="s">
        <v>23</v>
      </c>
      <c r="E71" s="4" t="s">
        <v>85</v>
      </c>
      <c r="F71" s="37"/>
      <c r="G71" s="37"/>
      <c r="H71" s="37"/>
      <c r="I71" s="6">
        <v>1.0</v>
      </c>
      <c r="J71" s="6" t="s">
        <v>35</v>
      </c>
      <c r="K71" s="6" t="s">
        <v>164</v>
      </c>
      <c r="N71" s="8"/>
    </row>
    <row r="72">
      <c r="A72" s="2" t="s">
        <v>166</v>
      </c>
      <c r="B72" s="4" t="s">
        <v>160</v>
      </c>
      <c r="D72" s="2" t="s">
        <v>12</v>
      </c>
      <c r="E72" s="4" t="s">
        <v>13</v>
      </c>
      <c r="F72" s="37"/>
      <c r="G72" s="5" t="s">
        <v>14</v>
      </c>
      <c r="H72" s="5" t="s">
        <v>15</v>
      </c>
      <c r="I72" s="6">
        <v>1.0</v>
      </c>
      <c r="J72" s="6" t="s">
        <v>35</v>
      </c>
      <c r="K72" s="6" t="s">
        <v>164</v>
      </c>
      <c r="N72" s="8"/>
    </row>
    <row r="73">
      <c r="A73" s="2" t="s">
        <v>167</v>
      </c>
      <c r="B73" s="4" t="s">
        <v>160</v>
      </c>
      <c r="D73" s="2" t="s">
        <v>21</v>
      </c>
      <c r="E73" s="3" t="s">
        <v>110</v>
      </c>
      <c r="F73" s="36"/>
      <c r="G73" s="36"/>
      <c r="H73" s="36"/>
      <c r="I73" s="6">
        <v>1.0</v>
      </c>
      <c r="J73" s="6" t="s">
        <v>35</v>
      </c>
      <c r="K73" s="6" t="s">
        <v>164</v>
      </c>
      <c r="N73" s="8"/>
    </row>
    <row r="74">
      <c r="A74" s="2" t="s">
        <v>168</v>
      </c>
      <c r="B74" s="4" t="s">
        <v>160</v>
      </c>
      <c r="D74" s="2" t="s">
        <v>21</v>
      </c>
      <c r="E74" s="3" t="s">
        <v>169</v>
      </c>
      <c r="F74" s="36"/>
      <c r="G74" s="36"/>
      <c r="H74" s="36"/>
      <c r="I74" s="6">
        <v>1.0</v>
      </c>
      <c r="J74" s="6" t="s">
        <v>35</v>
      </c>
      <c r="K74" s="6" t="s">
        <v>164</v>
      </c>
      <c r="N74" s="8"/>
    </row>
    <row r="75">
      <c r="A75" s="2" t="s">
        <v>170</v>
      </c>
      <c r="B75" s="3" t="s">
        <v>171</v>
      </c>
      <c r="D75" s="2" t="s">
        <v>22</v>
      </c>
      <c r="E75" s="3" t="s">
        <v>172</v>
      </c>
      <c r="F75" s="37"/>
      <c r="G75" s="37"/>
      <c r="H75" s="37"/>
      <c r="I75" s="6">
        <v>1.0</v>
      </c>
      <c r="J75" s="6" t="s">
        <v>35</v>
      </c>
      <c r="K75" s="6" t="s">
        <v>164</v>
      </c>
      <c r="N75" s="8"/>
    </row>
    <row r="76">
      <c r="A76" s="2" t="s">
        <v>173</v>
      </c>
      <c r="B76" s="34" t="s">
        <v>160</v>
      </c>
      <c r="C76" s="25"/>
      <c r="D76" s="24" t="s">
        <v>20</v>
      </c>
      <c r="E76" s="34" t="s">
        <v>174</v>
      </c>
      <c r="F76" s="43"/>
      <c r="G76" s="43"/>
      <c r="H76" s="43"/>
      <c r="I76" s="26">
        <v>1.0</v>
      </c>
      <c r="J76" s="26" t="s">
        <v>35</v>
      </c>
      <c r="K76" s="26" t="s">
        <v>164</v>
      </c>
      <c r="L76" s="28"/>
      <c r="M76" s="28"/>
      <c r="N76" s="47"/>
    </row>
    <row r="77">
      <c r="A77" s="2" t="s">
        <v>175</v>
      </c>
      <c r="B77" s="4" t="s">
        <v>176</v>
      </c>
      <c r="D77" s="2" t="s">
        <v>20</v>
      </c>
      <c r="E77" s="4" t="s">
        <v>177</v>
      </c>
      <c r="F77" s="37"/>
      <c r="G77" s="37"/>
      <c r="H77" s="37"/>
      <c r="I77" s="6">
        <v>1.0</v>
      </c>
      <c r="J77" s="6" t="s">
        <v>35</v>
      </c>
      <c r="K77" s="6" t="s">
        <v>178</v>
      </c>
    </row>
    <row r="78">
      <c r="A78" s="2" t="s">
        <v>179</v>
      </c>
      <c r="B78" s="4" t="s">
        <v>176</v>
      </c>
      <c r="D78" s="2" t="s">
        <v>25</v>
      </c>
      <c r="E78" s="4" t="s">
        <v>70</v>
      </c>
      <c r="F78" s="37"/>
      <c r="G78" s="37"/>
      <c r="H78" s="37"/>
      <c r="I78" s="6">
        <v>1.0</v>
      </c>
      <c r="J78" s="6" t="s">
        <v>35</v>
      </c>
      <c r="K78" s="6" t="s">
        <v>178</v>
      </c>
    </row>
    <row r="79">
      <c r="A79" s="2" t="s">
        <v>180</v>
      </c>
      <c r="B79" s="3" t="s">
        <v>176</v>
      </c>
      <c r="D79" s="6" t="s">
        <v>22</v>
      </c>
      <c r="E79" s="3" t="s">
        <v>181</v>
      </c>
      <c r="F79" s="37"/>
      <c r="G79" s="37"/>
      <c r="H79" s="37"/>
      <c r="I79" s="6">
        <v>1.0</v>
      </c>
      <c r="J79" s="6" t="s">
        <v>35</v>
      </c>
      <c r="K79" s="6" t="s">
        <v>178</v>
      </c>
    </row>
    <row r="80">
      <c r="A80" s="2" t="s">
        <v>182</v>
      </c>
      <c r="B80" s="4" t="s">
        <v>176</v>
      </c>
      <c r="D80" s="6" t="s">
        <v>145</v>
      </c>
      <c r="E80" s="3" t="s">
        <v>146</v>
      </c>
      <c r="F80" s="37"/>
      <c r="G80" s="37"/>
      <c r="H80" s="37"/>
      <c r="I80" s="6">
        <v>1.0</v>
      </c>
      <c r="J80" s="6" t="s">
        <v>35</v>
      </c>
      <c r="K80" s="6" t="s">
        <v>178</v>
      </c>
    </row>
    <row r="81">
      <c r="A81" s="2" t="s">
        <v>183</v>
      </c>
      <c r="B81" s="4" t="s">
        <v>176</v>
      </c>
      <c r="D81" s="2" t="s">
        <v>28</v>
      </c>
      <c r="E81" s="4" t="s">
        <v>62</v>
      </c>
      <c r="F81" s="37"/>
      <c r="G81" s="37"/>
      <c r="H81" s="37"/>
      <c r="I81" s="6">
        <v>1.0</v>
      </c>
      <c r="J81" s="6" t="s">
        <v>35</v>
      </c>
      <c r="K81" s="6" t="s">
        <v>178</v>
      </c>
    </row>
    <row r="82">
      <c r="A82" s="2" t="s">
        <v>184</v>
      </c>
      <c r="B82" s="3" t="s">
        <v>176</v>
      </c>
      <c r="D82" s="2" t="s">
        <v>12</v>
      </c>
      <c r="E82" s="3" t="s">
        <v>13</v>
      </c>
      <c r="F82" s="37"/>
      <c r="G82" s="5" t="s">
        <v>14</v>
      </c>
      <c r="H82" s="5" t="s">
        <v>15</v>
      </c>
      <c r="I82" s="6">
        <v>1.0</v>
      </c>
      <c r="J82" s="6" t="s">
        <v>35</v>
      </c>
      <c r="K82" s="6" t="s">
        <v>178</v>
      </c>
    </row>
    <row r="83">
      <c r="A83" s="2" t="s">
        <v>185</v>
      </c>
      <c r="B83" s="3" t="s">
        <v>176</v>
      </c>
      <c r="D83" s="2" t="s">
        <v>26</v>
      </c>
      <c r="E83" s="4" t="s">
        <v>68</v>
      </c>
      <c r="F83" s="37"/>
      <c r="G83" s="37"/>
      <c r="H83" s="37"/>
      <c r="I83" s="6">
        <v>1.0</v>
      </c>
      <c r="J83" s="6" t="s">
        <v>35</v>
      </c>
      <c r="K83" s="6" t="s">
        <v>178</v>
      </c>
    </row>
    <row r="84">
      <c r="A84" s="2" t="s">
        <v>186</v>
      </c>
      <c r="B84" s="4" t="s">
        <v>176</v>
      </c>
      <c r="D84" s="4" t="s">
        <v>23</v>
      </c>
      <c r="E84" s="4" t="s">
        <v>187</v>
      </c>
      <c r="F84" s="37"/>
      <c r="G84" s="37"/>
      <c r="H84" s="37"/>
      <c r="I84" s="6">
        <v>1.0</v>
      </c>
      <c r="J84" s="6" t="s">
        <v>35</v>
      </c>
      <c r="K84" s="6" t="s">
        <v>178</v>
      </c>
    </row>
    <row r="85">
      <c r="A85" s="2" t="s">
        <v>188</v>
      </c>
      <c r="B85" s="4" t="s">
        <v>176</v>
      </c>
      <c r="D85" s="2" t="s">
        <v>24</v>
      </c>
      <c r="E85" s="4" t="s">
        <v>187</v>
      </c>
      <c r="F85" s="37"/>
      <c r="G85" s="37"/>
      <c r="H85" s="37"/>
      <c r="I85" s="6">
        <v>1.0</v>
      </c>
      <c r="J85" s="6" t="s">
        <v>35</v>
      </c>
      <c r="K85" s="6" t="s">
        <v>178</v>
      </c>
    </row>
    <row r="86">
      <c r="A86" s="2" t="s">
        <v>189</v>
      </c>
      <c r="B86" s="4" t="s">
        <v>176</v>
      </c>
      <c r="D86" s="2" t="s">
        <v>21</v>
      </c>
      <c r="E86" s="3" t="s">
        <v>190</v>
      </c>
      <c r="F86" s="36"/>
      <c r="G86" s="36"/>
      <c r="H86" s="36"/>
      <c r="I86" s="6">
        <v>1.0</v>
      </c>
      <c r="J86" s="6" t="s">
        <v>35</v>
      </c>
      <c r="K86" s="6" t="s">
        <v>178</v>
      </c>
    </row>
    <row r="87">
      <c r="A87" s="2" t="s">
        <v>191</v>
      </c>
      <c r="B87" s="4" t="s">
        <v>192</v>
      </c>
      <c r="D87" s="2" t="s">
        <v>20</v>
      </c>
      <c r="E87" s="3" t="s">
        <v>60</v>
      </c>
      <c r="F87" s="4"/>
      <c r="G87" s="4"/>
      <c r="H87" s="4"/>
      <c r="I87" s="6">
        <v>1.0</v>
      </c>
      <c r="J87" s="6" t="s">
        <v>35</v>
      </c>
      <c r="K87" s="7" t="s">
        <v>193</v>
      </c>
    </row>
    <row r="88">
      <c r="A88" s="2" t="s">
        <v>194</v>
      </c>
      <c r="B88" s="4" t="s">
        <v>192</v>
      </c>
      <c r="D88" s="2" t="s">
        <v>12</v>
      </c>
      <c r="E88" s="4" t="s">
        <v>13</v>
      </c>
      <c r="F88" s="4"/>
      <c r="G88" s="5" t="s">
        <v>14</v>
      </c>
      <c r="H88" s="5" t="s">
        <v>15</v>
      </c>
      <c r="I88" s="6">
        <v>1.0</v>
      </c>
      <c r="J88" s="6" t="s">
        <v>35</v>
      </c>
      <c r="K88" s="7" t="s">
        <v>193</v>
      </c>
    </row>
    <row r="89">
      <c r="A89" s="2" t="s">
        <v>195</v>
      </c>
      <c r="B89" s="4" t="s">
        <v>192</v>
      </c>
      <c r="D89" s="2" t="s">
        <v>25</v>
      </c>
      <c r="E89" s="4" t="s">
        <v>70</v>
      </c>
      <c r="F89" s="4"/>
      <c r="G89" s="4"/>
      <c r="H89" s="4"/>
      <c r="I89" s="6">
        <v>1.0</v>
      </c>
      <c r="J89" s="6" t="s">
        <v>35</v>
      </c>
      <c r="K89" s="7" t="s">
        <v>193</v>
      </c>
    </row>
    <row r="90">
      <c r="A90" s="2" t="s">
        <v>196</v>
      </c>
      <c r="B90" s="4" t="s">
        <v>192</v>
      </c>
      <c r="D90" s="2" t="s">
        <v>24</v>
      </c>
      <c r="E90" s="4" t="s">
        <v>85</v>
      </c>
      <c r="F90" s="4"/>
      <c r="G90" s="4"/>
      <c r="H90" s="4"/>
      <c r="I90" s="6">
        <v>1.0</v>
      </c>
      <c r="J90" s="6" t="s">
        <v>35</v>
      </c>
      <c r="K90" s="7" t="s">
        <v>193</v>
      </c>
    </row>
    <row r="91">
      <c r="A91" s="2" t="s">
        <v>197</v>
      </c>
      <c r="B91" s="4" t="s">
        <v>192</v>
      </c>
      <c r="D91" s="23" t="s">
        <v>23</v>
      </c>
      <c r="E91" s="4" t="s">
        <v>85</v>
      </c>
      <c r="F91" s="4"/>
      <c r="G91" s="4"/>
      <c r="H91" s="4"/>
      <c r="I91" s="6">
        <v>1.0</v>
      </c>
      <c r="J91" s="6" t="s">
        <v>35</v>
      </c>
      <c r="K91" s="7" t="s">
        <v>193</v>
      </c>
    </row>
    <row r="92">
      <c r="A92" s="2" t="s">
        <v>198</v>
      </c>
      <c r="B92" s="4" t="s">
        <v>192</v>
      </c>
      <c r="D92" s="26" t="s">
        <v>145</v>
      </c>
      <c r="E92" s="3" t="s">
        <v>146</v>
      </c>
      <c r="F92" s="4"/>
      <c r="G92" s="4"/>
      <c r="H92" s="4"/>
      <c r="I92" s="6">
        <v>1.0</v>
      </c>
      <c r="J92" s="6" t="s">
        <v>35</v>
      </c>
      <c r="K92" s="7" t="s">
        <v>193</v>
      </c>
    </row>
    <row r="93">
      <c r="A93" s="2" t="s">
        <v>199</v>
      </c>
      <c r="B93" s="4" t="s">
        <v>192</v>
      </c>
      <c r="D93" s="2" t="s">
        <v>28</v>
      </c>
      <c r="E93" s="4" t="s">
        <v>68</v>
      </c>
      <c r="F93" s="4"/>
      <c r="G93" s="4"/>
      <c r="H93" s="4"/>
      <c r="I93" s="6">
        <v>1.0</v>
      </c>
      <c r="J93" s="6" t="s">
        <v>35</v>
      </c>
      <c r="K93" s="7" t="s">
        <v>193</v>
      </c>
    </row>
    <row r="94">
      <c r="A94" s="2" t="s">
        <v>200</v>
      </c>
      <c r="B94" s="4" t="s">
        <v>192</v>
      </c>
      <c r="D94" s="2" t="s">
        <v>26</v>
      </c>
      <c r="E94" s="4" t="s">
        <v>68</v>
      </c>
      <c r="F94" s="4"/>
      <c r="G94" s="4"/>
      <c r="H94" s="4"/>
      <c r="I94" s="6">
        <v>1.0</v>
      </c>
      <c r="J94" s="6" t="s">
        <v>35</v>
      </c>
      <c r="K94" s="7" t="s">
        <v>193</v>
      </c>
    </row>
    <row r="95">
      <c r="A95" s="2" t="s">
        <v>201</v>
      </c>
      <c r="B95" s="3" t="s">
        <v>192</v>
      </c>
      <c r="D95" s="2" t="s">
        <v>22</v>
      </c>
      <c r="E95" s="3" t="s">
        <v>181</v>
      </c>
      <c r="F95" s="48"/>
      <c r="G95" s="48"/>
      <c r="H95" s="48"/>
      <c r="I95" s="6">
        <v>1.0</v>
      </c>
      <c r="J95" s="6" t="s">
        <v>35</v>
      </c>
      <c r="K95" s="7" t="s">
        <v>193</v>
      </c>
    </row>
    <row r="96">
      <c r="A96" s="2" t="s">
        <v>202</v>
      </c>
      <c r="B96" s="4" t="s">
        <v>192</v>
      </c>
      <c r="D96" s="2" t="s">
        <v>21</v>
      </c>
      <c r="E96" s="3" t="s">
        <v>203</v>
      </c>
      <c r="F96" s="48"/>
      <c r="G96" s="48"/>
      <c r="H96" s="48"/>
      <c r="I96" s="6">
        <v>1.0</v>
      </c>
      <c r="J96" s="6" t="s">
        <v>35</v>
      </c>
      <c r="K96" s="7" t="s">
        <v>193</v>
      </c>
    </row>
    <row r="97">
      <c r="A97" s="2" t="s">
        <v>204</v>
      </c>
      <c r="B97" s="34" t="s">
        <v>192</v>
      </c>
      <c r="C97" s="42"/>
      <c r="D97" s="34" t="s">
        <v>205</v>
      </c>
      <c r="E97" s="49" t="s">
        <v>206</v>
      </c>
      <c r="F97" s="50"/>
      <c r="G97" s="50"/>
      <c r="H97" s="50"/>
      <c r="I97" s="26">
        <v>1.0</v>
      </c>
      <c r="J97" s="26" t="s">
        <v>35</v>
      </c>
      <c r="K97" s="35" t="s">
        <v>193</v>
      </c>
      <c r="L97" s="28"/>
      <c r="M97" s="28"/>
      <c r="N97" s="28"/>
    </row>
    <row r="98">
      <c r="A98" s="2" t="s">
        <v>207</v>
      </c>
      <c r="B98" s="4" t="s">
        <v>208</v>
      </c>
      <c r="D98" s="2" t="s">
        <v>20</v>
      </c>
      <c r="E98" s="4" t="s">
        <v>118</v>
      </c>
      <c r="F98" s="4"/>
      <c r="G98" s="4"/>
      <c r="H98" s="4"/>
      <c r="I98" s="6">
        <v>1.0</v>
      </c>
      <c r="J98" s="6" t="s">
        <v>35</v>
      </c>
      <c r="K98" s="7" t="s">
        <v>209</v>
      </c>
    </row>
    <row r="99">
      <c r="A99" s="2" t="s">
        <v>210</v>
      </c>
      <c r="B99" s="4" t="s">
        <v>208</v>
      </c>
      <c r="D99" s="2" t="s">
        <v>12</v>
      </c>
      <c r="E99" s="4" t="s">
        <v>13</v>
      </c>
      <c r="F99" s="4"/>
      <c r="G99" s="5" t="s">
        <v>14</v>
      </c>
      <c r="H99" s="5" t="s">
        <v>15</v>
      </c>
      <c r="I99" s="6">
        <v>1.0</v>
      </c>
      <c r="J99" s="6" t="s">
        <v>35</v>
      </c>
      <c r="K99" s="7" t="s">
        <v>209</v>
      </c>
    </row>
    <row r="100">
      <c r="A100" s="2" t="s">
        <v>211</v>
      </c>
      <c r="B100" s="4" t="s">
        <v>208</v>
      </c>
      <c r="D100" s="2" t="s">
        <v>25</v>
      </c>
      <c r="E100" s="4" t="s">
        <v>70</v>
      </c>
      <c r="F100" s="4"/>
      <c r="G100" s="4"/>
      <c r="H100" s="4"/>
      <c r="I100" s="6">
        <v>1.0</v>
      </c>
      <c r="J100" s="6" t="s">
        <v>35</v>
      </c>
      <c r="K100" s="7" t="s">
        <v>209</v>
      </c>
    </row>
    <row r="101">
      <c r="A101" s="2" t="s">
        <v>212</v>
      </c>
      <c r="B101" s="4" t="s">
        <v>208</v>
      </c>
      <c r="D101" s="2" t="s">
        <v>21</v>
      </c>
      <c r="E101" s="3" t="s">
        <v>110</v>
      </c>
      <c r="F101" s="48"/>
      <c r="G101" s="48"/>
      <c r="H101" s="48"/>
      <c r="I101" s="6">
        <v>1.0</v>
      </c>
      <c r="J101" s="6" t="s">
        <v>35</v>
      </c>
      <c r="K101" s="7" t="s">
        <v>209</v>
      </c>
    </row>
    <row r="102">
      <c r="A102" s="2" t="s">
        <v>213</v>
      </c>
      <c r="B102" s="4" t="s">
        <v>208</v>
      </c>
      <c r="D102" s="2" t="s">
        <v>28</v>
      </c>
      <c r="E102" s="4" t="s">
        <v>62</v>
      </c>
      <c r="F102" s="4"/>
      <c r="G102" s="4"/>
      <c r="H102" s="4"/>
      <c r="I102" s="6">
        <v>1.0</v>
      </c>
      <c r="J102" s="6" t="s">
        <v>35</v>
      </c>
      <c r="K102" s="7" t="s">
        <v>209</v>
      </c>
    </row>
    <row r="103">
      <c r="A103" s="2" t="s">
        <v>214</v>
      </c>
      <c r="B103" s="4" t="s">
        <v>208</v>
      </c>
      <c r="D103" s="2" t="s">
        <v>26</v>
      </c>
      <c r="E103" s="4" t="s">
        <v>68</v>
      </c>
      <c r="F103" s="4"/>
      <c r="G103" s="4"/>
      <c r="H103" s="4"/>
      <c r="I103" s="6">
        <v>1.0</v>
      </c>
      <c r="J103" s="6" t="s">
        <v>35</v>
      </c>
      <c r="K103" s="7" t="s">
        <v>209</v>
      </c>
    </row>
    <row r="104">
      <c r="A104" s="2" t="s">
        <v>215</v>
      </c>
      <c r="B104" s="4" t="s">
        <v>208</v>
      </c>
      <c r="D104" s="4" t="s">
        <v>23</v>
      </c>
      <c r="E104" s="4" t="s">
        <v>85</v>
      </c>
      <c r="F104" s="4"/>
      <c r="G104" s="4"/>
      <c r="H104" s="4"/>
      <c r="I104" s="6">
        <v>1.0</v>
      </c>
      <c r="J104" s="6" t="s">
        <v>35</v>
      </c>
      <c r="K104" s="7" t="s">
        <v>209</v>
      </c>
    </row>
    <row r="105">
      <c r="A105" s="2" t="s">
        <v>216</v>
      </c>
      <c r="B105" s="4" t="s">
        <v>208</v>
      </c>
      <c r="D105" s="2" t="s">
        <v>24</v>
      </c>
      <c r="E105" s="4" t="s">
        <v>85</v>
      </c>
      <c r="F105" s="4"/>
      <c r="G105" s="4"/>
      <c r="H105" s="4"/>
      <c r="I105" s="6">
        <v>1.0</v>
      </c>
      <c r="J105" s="6" t="s">
        <v>35</v>
      </c>
      <c r="K105" s="7" t="s">
        <v>209</v>
      </c>
    </row>
    <row r="106">
      <c r="A106" s="2" t="s">
        <v>217</v>
      </c>
      <c r="B106" s="34" t="s">
        <v>208</v>
      </c>
      <c r="C106" s="25"/>
      <c r="D106" s="34" t="s">
        <v>22</v>
      </c>
      <c r="E106" s="49" t="s">
        <v>218</v>
      </c>
      <c r="F106" s="34"/>
      <c r="G106" s="34"/>
      <c r="H106" s="34"/>
      <c r="I106" s="26">
        <v>1.0</v>
      </c>
      <c r="J106" s="26" t="s">
        <v>35</v>
      </c>
      <c r="K106" s="35" t="s">
        <v>209</v>
      </c>
      <c r="L106" s="28"/>
      <c r="M106" s="28"/>
      <c r="N106" s="28"/>
    </row>
    <row r="107">
      <c r="A107" s="2" t="s">
        <v>219</v>
      </c>
      <c r="B107" s="4" t="s">
        <v>220</v>
      </c>
      <c r="D107" s="2" t="s">
        <v>20</v>
      </c>
      <c r="E107" s="4" t="s">
        <v>118</v>
      </c>
      <c r="F107" s="4"/>
      <c r="G107" s="4"/>
      <c r="H107" s="4"/>
      <c r="I107" s="6">
        <v>1.0</v>
      </c>
      <c r="J107" s="6" t="s">
        <v>35</v>
      </c>
      <c r="K107" s="7" t="s">
        <v>221</v>
      </c>
    </row>
    <row r="108">
      <c r="A108" s="2" t="s">
        <v>222</v>
      </c>
      <c r="B108" s="4" t="s">
        <v>220</v>
      </c>
      <c r="D108" s="2" t="s">
        <v>12</v>
      </c>
      <c r="E108" s="4" t="s">
        <v>13</v>
      </c>
      <c r="F108" s="4"/>
      <c r="G108" s="5" t="s">
        <v>14</v>
      </c>
      <c r="H108" s="5" t="s">
        <v>15</v>
      </c>
      <c r="I108" s="6">
        <v>1.0</v>
      </c>
      <c r="J108" s="6" t="s">
        <v>35</v>
      </c>
      <c r="K108" s="7" t="s">
        <v>221</v>
      </c>
    </row>
    <row r="109">
      <c r="A109" s="2" t="s">
        <v>223</v>
      </c>
      <c r="B109" s="4" t="s">
        <v>220</v>
      </c>
      <c r="D109" s="2" t="s">
        <v>25</v>
      </c>
      <c r="E109" s="4" t="s">
        <v>70</v>
      </c>
      <c r="F109" s="4"/>
      <c r="G109" s="4"/>
      <c r="H109" s="4"/>
      <c r="I109" s="6">
        <v>1.0</v>
      </c>
      <c r="J109" s="6" t="s">
        <v>35</v>
      </c>
      <c r="K109" s="7" t="s">
        <v>221</v>
      </c>
    </row>
    <row r="110">
      <c r="A110" s="2" t="s">
        <v>224</v>
      </c>
      <c r="B110" s="4" t="s">
        <v>220</v>
      </c>
      <c r="D110" s="2" t="s">
        <v>24</v>
      </c>
      <c r="E110" s="4" t="s">
        <v>96</v>
      </c>
      <c r="F110" s="4"/>
      <c r="G110" s="4"/>
      <c r="H110" s="4"/>
      <c r="I110" s="6">
        <v>1.0</v>
      </c>
      <c r="J110" s="6" t="s">
        <v>35</v>
      </c>
      <c r="K110" s="7" t="s">
        <v>221</v>
      </c>
    </row>
    <row r="111">
      <c r="A111" s="2" t="s">
        <v>225</v>
      </c>
      <c r="B111" s="4" t="s">
        <v>220</v>
      </c>
      <c r="D111" s="23" t="s">
        <v>23</v>
      </c>
      <c r="E111" s="4" t="s">
        <v>96</v>
      </c>
      <c r="F111" s="4"/>
      <c r="G111" s="4"/>
      <c r="H111" s="4"/>
      <c r="I111" s="6">
        <v>1.0</v>
      </c>
      <c r="J111" s="6" t="s">
        <v>35</v>
      </c>
      <c r="K111" s="7" t="s">
        <v>221</v>
      </c>
    </row>
    <row r="112">
      <c r="A112" s="2" t="s">
        <v>226</v>
      </c>
      <c r="B112" s="4" t="s">
        <v>220</v>
      </c>
      <c r="D112" s="2" t="s">
        <v>26</v>
      </c>
      <c r="E112" s="4" t="s">
        <v>68</v>
      </c>
      <c r="F112" s="4"/>
      <c r="G112" s="4"/>
      <c r="H112" s="4"/>
      <c r="I112" s="6">
        <v>1.0</v>
      </c>
      <c r="J112" s="6" t="s">
        <v>35</v>
      </c>
      <c r="K112" s="7" t="s">
        <v>221</v>
      </c>
    </row>
    <row r="113">
      <c r="A113" s="2" t="s">
        <v>227</v>
      </c>
      <c r="B113" s="4" t="s">
        <v>220</v>
      </c>
      <c r="D113" s="2" t="s">
        <v>28</v>
      </c>
      <c r="E113" s="4" t="s">
        <v>228</v>
      </c>
      <c r="F113" s="4"/>
      <c r="G113" s="4"/>
      <c r="H113" s="4"/>
      <c r="I113" s="6">
        <v>1.0</v>
      </c>
      <c r="J113" s="6" t="s">
        <v>35</v>
      </c>
      <c r="K113" s="7" t="s">
        <v>221</v>
      </c>
    </row>
    <row r="114">
      <c r="A114" s="2" t="s">
        <v>229</v>
      </c>
      <c r="B114" s="4" t="s">
        <v>220</v>
      </c>
      <c r="D114" s="4" t="s">
        <v>22</v>
      </c>
      <c r="E114" s="3" t="s">
        <v>98</v>
      </c>
      <c r="F114" s="4"/>
      <c r="G114" s="4"/>
      <c r="H114" s="4"/>
      <c r="I114" s="6">
        <v>1.0</v>
      </c>
      <c r="J114" s="6" t="s">
        <v>35</v>
      </c>
      <c r="K114" s="7" t="s">
        <v>221</v>
      </c>
    </row>
    <row r="115">
      <c r="A115" s="2" t="s">
        <v>230</v>
      </c>
      <c r="B115" s="4" t="s">
        <v>231</v>
      </c>
      <c r="D115" s="2" t="s">
        <v>20</v>
      </c>
      <c r="E115" s="4" t="s">
        <v>232</v>
      </c>
      <c r="F115" s="4"/>
      <c r="G115" s="4"/>
      <c r="H115" s="4"/>
      <c r="I115" s="6">
        <v>1.0</v>
      </c>
      <c r="J115" s="6" t="s">
        <v>35</v>
      </c>
      <c r="K115" s="7" t="s">
        <v>233</v>
      </c>
    </row>
    <row r="116">
      <c r="A116" s="2" t="s">
        <v>234</v>
      </c>
      <c r="B116" s="4" t="s">
        <v>231</v>
      </c>
      <c r="D116" s="2" t="s">
        <v>12</v>
      </c>
      <c r="E116" s="4" t="s">
        <v>13</v>
      </c>
      <c r="F116" s="4"/>
      <c r="G116" s="5" t="s">
        <v>14</v>
      </c>
      <c r="H116" s="5" t="s">
        <v>15</v>
      </c>
      <c r="I116" s="6">
        <v>1.0</v>
      </c>
      <c r="J116" s="6" t="s">
        <v>35</v>
      </c>
      <c r="K116" s="7" t="s">
        <v>233</v>
      </c>
    </row>
    <row r="117">
      <c r="A117" s="2" t="s">
        <v>235</v>
      </c>
      <c r="B117" s="4" t="s">
        <v>231</v>
      </c>
      <c r="D117" s="23" t="s">
        <v>23</v>
      </c>
      <c r="E117" s="4" t="s">
        <v>85</v>
      </c>
      <c r="F117" s="4"/>
      <c r="G117" s="4"/>
      <c r="H117" s="4"/>
      <c r="I117" s="6">
        <v>1.0</v>
      </c>
      <c r="J117" s="6" t="s">
        <v>35</v>
      </c>
      <c r="K117" s="7" t="s">
        <v>233</v>
      </c>
    </row>
    <row r="118">
      <c r="A118" s="2" t="s">
        <v>236</v>
      </c>
      <c r="B118" s="4" t="s">
        <v>231</v>
      </c>
      <c r="D118" s="2" t="s">
        <v>24</v>
      </c>
      <c r="E118" s="4" t="s">
        <v>237</v>
      </c>
      <c r="F118" s="4"/>
      <c r="G118" s="4"/>
      <c r="H118" s="4"/>
      <c r="I118" s="6">
        <v>1.0</v>
      </c>
      <c r="J118" s="6" t="s">
        <v>35</v>
      </c>
      <c r="K118" s="7" t="s">
        <v>233</v>
      </c>
    </row>
    <row r="119">
      <c r="A119" s="2" t="s">
        <v>238</v>
      </c>
      <c r="B119" s="4" t="s">
        <v>231</v>
      </c>
      <c r="D119" s="2" t="s">
        <v>28</v>
      </c>
      <c r="E119" s="4" t="s">
        <v>62</v>
      </c>
      <c r="F119" s="4"/>
      <c r="G119" s="4"/>
      <c r="H119" s="4"/>
      <c r="I119" s="6">
        <v>1.0</v>
      </c>
      <c r="J119" s="6" t="s">
        <v>35</v>
      </c>
      <c r="K119" s="7" t="s">
        <v>233</v>
      </c>
    </row>
    <row r="120">
      <c r="A120" s="2" t="s">
        <v>239</v>
      </c>
      <c r="B120" s="4" t="s">
        <v>231</v>
      </c>
      <c r="D120" s="2" t="s">
        <v>25</v>
      </c>
      <c r="E120" s="4" t="s">
        <v>240</v>
      </c>
      <c r="F120" s="4"/>
      <c r="G120" s="4"/>
      <c r="H120" s="4"/>
      <c r="I120" s="6">
        <v>1.0</v>
      </c>
      <c r="J120" s="6" t="s">
        <v>35</v>
      </c>
      <c r="K120" s="7" t="s">
        <v>233</v>
      </c>
    </row>
    <row r="121">
      <c r="A121" s="2" t="s">
        <v>241</v>
      </c>
      <c r="B121" s="4" t="s">
        <v>231</v>
      </c>
      <c r="D121" s="2" t="s">
        <v>21</v>
      </c>
      <c r="E121" s="3" t="s">
        <v>130</v>
      </c>
      <c r="F121" s="48"/>
      <c r="G121" s="48"/>
      <c r="H121" s="48"/>
      <c r="I121" s="6">
        <v>1.0</v>
      </c>
      <c r="J121" s="6" t="s">
        <v>35</v>
      </c>
      <c r="K121" s="7" t="s">
        <v>233</v>
      </c>
    </row>
    <row r="122">
      <c r="A122" s="2" t="s">
        <v>242</v>
      </c>
      <c r="B122" s="34" t="s">
        <v>231</v>
      </c>
      <c r="C122" s="25"/>
      <c r="D122" s="34" t="s">
        <v>22</v>
      </c>
      <c r="E122" s="49" t="s">
        <v>98</v>
      </c>
      <c r="F122" s="34"/>
      <c r="G122" s="34"/>
      <c r="H122" s="34"/>
      <c r="I122" s="26">
        <v>1.0</v>
      </c>
      <c r="J122" s="26" t="s">
        <v>35</v>
      </c>
      <c r="K122" s="35" t="s">
        <v>233</v>
      </c>
      <c r="L122" s="28"/>
      <c r="M122" s="28"/>
      <c r="N122" s="28"/>
    </row>
    <row r="123">
      <c r="A123" s="2" t="s">
        <v>243</v>
      </c>
      <c r="B123" s="4" t="s">
        <v>244</v>
      </c>
      <c r="D123" s="2" t="s">
        <v>20</v>
      </c>
      <c r="E123" s="4" t="s">
        <v>118</v>
      </c>
      <c r="F123" s="4"/>
      <c r="G123" s="4"/>
      <c r="H123" s="4"/>
      <c r="I123" s="6">
        <v>1.0</v>
      </c>
      <c r="J123" s="6" t="s">
        <v>35</v>
      </c>
      <c r="K123" s="7" t="s">
        <v>245</v>
      </c>
    </row>
    <row r="124">
      <c r="A124" s="2" t="s">
        <v>246</v>
      </c>
      <c r="B124" s="4" t="s">
        <v>244</v>
      </c>
      <c r="D124" s="2" t="s">
        <v>12</v>
      </c>
      <c r="E124" s="3" t="s">
        <v>247</v>
      </c>
      <c r="F124" s="48"/>
      <c r="G124" s="48"/>
      <c r="H124" s="48"/>
      <c r="I124" s="6">
        <v>1.0</v>
      </c>
      <c r="J124" s="6" t="s">
        <v>35</v>
      </c>
      <c r="K124" s="7" t="s">
        <v>245</v>
      </c>
    </row>
    <row r="125">
      <c r="A125" s="2" t="s">
        <v>248</v>
      </c>
      <c r="B125" s="4" t="s">
        <v>244</v>
      </c>
      <c r="D125" s="23" t="s">
        <v>23</v>
      </c>
      <c r="E125" s="4" t="s">
        <v>85</v>
      </c>
      <c r="F125" s="4"/>
      <c r="G125" s="4"/>
      <c r="H125" s="4"/>
      <c r="I125" s="6">
        <v>1.0</v>
      </c>
      <c r="J125" s="6" t="s">
        <v>35</v>
      </c>
      <c r="K125" s="7" t="s">
        <v>245</v>
      </c>
    </row>
    <row r="126">
      <c r="A126" s="2" t="s">
        <v>249</v>
      </c>
      <c r="B126" s="4" t="s">
        <v>244</v>
      </c>
      <c r="D126" s="2" t="s">
        <v>24</v>
      </c>
      <c r="E126" s="4" t="s">
        <v>85</v>
      </c>
      <c r="F126" s="4"/>
      <c r="G126" s="4"/>
      <c r="H126" s="4"/>
      <c r="I126" s="6">
        <v>1.0</v>
      </c>
      <c r="J126" s="6" t="s">
        <v>35</v>
      </c>
      <c r="K126" s="7" t="s">
        <v>245</v>
      </c>
    </row>
    <row r="127">
      <c r="A127" s="2" t="s">
        <v>250</v>
      </c>
      <c r="B127" s="4" t="s">
        <v>244</v>
      </c>
      <c r="D127" s="2" t="s">
        <v>25</v>
      </c>
      <c r="E127" s="4" t="s">
        <v>70</v>
      </c>
      <c r="F127" s="4"/>
      <c r="G127" s="4"/>
      <c r="H127" s="4"/>
      <c r="I127" s="6">
        <v>1.0</v>
      </c>
      <c r="J127" s="6" t="s">
        <v>35</v>
      </c>
      <c r="K127" s="7" t="s">
        <v>245</v>
      </c>
    </row>
    <row r="128">
      <c r="A128" s="2" t="s">
        <v>251</v>
      </c>
      <c r="B128" s="3" t="s">
        <v>244</v>
      </c>
      <c r="D128" s="4" t="s">
        <v>22</v>
      </c>
      <c r="E128" s="3" t="s">
        <v>252</v>
      </c>
      <c r="F128" s="48"/>
      <c r="G128" s="48"/>
      <c r="H128" s="48"/>
      <c r="I128" s="6">
        <v>1.0</v>
      </c>
      <c r="J128" s="6" t="s">
        <v>35</v>
      </c>
      <c r="K128" s="7" t="s">
        <v>245</v>
      </c>
    </row>
    <row r="129">
      <c r="A129" s="2" t="s">
        <v>253</v>
      </c>
      <c r="B129" s="4" t="s">
        <v>244</v>
      </c>
      <c r="D129" s="2" t="s">
        <v>21</v>
      </c>
      <c r="E129" s="3" t="s">
        <v>254</v>
      </c>
      <c r="F129" s="48"/>
      <c r="G129" s="48"/>
      <c r="H129" s="48"/>
      <c r="I129" s="6">
        <v>1.0</v>
      </c>
      <c r="J129" s="6" t="s">
        <v>35</v>
      </c>
      <c r="K129" s="7" t="s">
        <v>245</v>
      </c>
    </row>
    <row r="130">
      <c r="A130" s="2" t="s">
        <v>255</v>
      </c>
      <c r="B130" s="3" t="s">
        <v>244</v>
      </c>
      <c r="D130" s="2" t="s">
        <v>22</v>
      </c>
      <c r="E130" s="3" t="s">
        <v>256</v>
      </c>
      <c r="F130" s="4"/>
      <c r="G130" s="4"/>
      <c r="H130" s="4"/>
      <c r="I130" s="6">
        <v>1.0</v>
      </c>
      <c r="J130" s="6" t="s">
        <v>35</v>
      </c>
      <c r="K130" s="7" t="s">
        <v>257</v>
      </c>
    </row>
    <row r="131">
      <c r="A131" s="2" t="s">
        <v>258</v>
      </c>
      <c r="B131" s="4" t="s">
        <v>259</v>
      </c>
      <c r="D131" s="2" t="s">
        <v>20</v>
      </c>
      <c r="E131" s="4" t="s">
        <v>105</v>
      </c>
      <c r="F131" s="4"/>
      <c r="G131" s="4"/>
      <c r="H131" s="4"/>
      <c r="I131" s="6">
        <v>1.0</v>
      </c>
      <c r="J131" s="6" t="s">
        <v>35</v>
      </c>
      <c r="K131" s="7" t="s">
        <v>257</v>
      </c>
    </row>
    <row r="132">
      <c r="A132" s="2" t="s">
        <v>260</v>
      </c>
      <c r="B132" s="4" t="s">
        <v>259</v>
      </c>
      <c r="D132" s="2" t="s">
        <v>12</v>
      </c>
      <c r="E132" s="3" t="s">
        <v>247</v>
      </c>
      <c r="F132" s="48"/>
      <c r="G132" s="48"/>
      <c r="H132" s="48"/>
      <c r="I132" s="6">
        <v>1.0</v>
      </c>
      <c r="J132" s="6" t="s">
        <v>35</v>
      </c>
      <c r="K132" s="7" t="s">
        <v>257</v>
      </c>
    </row>
    <row r="133">
      <c r="A133" s="2" t="s">
        <v>261</v>
      </c>
      <c r="B133" s="4" t="s">
        <v>259</v>
      </c>
      <c r="D133" s="2" t="s">
        <v>25</v>
      </c>
      <c r="E133" s="4" t="s">
        <v>240</v>
      </c>
      <c r="F133" s="4"/>
      <c r="G133" s="4"/>
      <c r="H133" s="4"/>
      <c r="I133" s="6">
        <v>1.0</v>
      </c>
      <c r="J133" s="6" t="s">
        <v>35</v>
      </c>
      <c r="K133" s="7" t="s">
        <v>257</v>
      </c>
    </row>
    <row r="134">
      <c r="A134" s="2" t="s">
        <v>262</v>
      </c>
      <c r="B134" s="4" t="s">
        <v>259</v>
      </c>
      <c r="D134" s="2" t="s">
        <v>26</v>
      </c>
      <c r="E134" s="4" t="s">
        <v>68</v>
      </c>
      <c r="F134" s="4"/>
      <c r="G134" s="4"/>
      <c r="H134" s="4"/>
      <c r="I134" s="6">
        <v>1.0</v>
      </c>
      <c r="J134" s="6" t="s">
        <v>35</v>
      </c>
      <c r="K134" s="7" t="s">
        <v>257</v>
      </c>
    </row>
    <row r="135">
      <c r="A135" s="2" t="s">
        <v>263</v>
      </c>
      <c r="B135" s="4" t="s">
        <v>259</v>
      </c>
      <c r="D135" s="23" t="s">
        <v>23</v>
      </c>
      <c r="E135" s="4" t="s">
        <v>85</v>
      </c>
      <c r="F135" s="4"/>
      <c r="G135" s="4"/>
      <c r="H135" s="4"/>
      <c r="I135" s="6">
        <v>1.0</v>
      </c>
      <c r="J135" s="6" t="s">
        <v>35</v>
      </c>
      <c r="K135" s="7" t="s">
        <v>257</v>
      </c>
    </row>
    <row r="136">
      <c r="A136" s="2" t="s">
        <v>264</v>
      </c>
      <c r="B136" s="4" t="s">
        <v>259</v>
      </c>
      <c r="D136" s="4" t="s">
        <v>22</v>
      </c>
      <c r="E136" s="3" t="s">
        <v>172</v>
      </c>
      <c r="F136" s="48"/>
      <c r="G136" s="48"/>
      <c r="H136" s="48"/>
      <c r="I136" s="6">
        <v>1.0</v>
      </c>
      <c r="J136" s="6" t="s">
        <v>35</v>
      </c>
      <c r="K136" s="7" t="s">
        <v>265</v>
      </c>
    </row>
    <row r="137">
      <c r="A137" s="2" t="s">
        <v>266</v>
      </c>
      <c r="B137" s="34" t="s">
        <v>259</v>
      </c>
      <c r="C137" s="42"/>
      <c r="D137" s="24" t="s">
        <v>24</v>
      </c>
      <c r="E137" s="34" t="s">
        <v>85</v>
      </c>
      <c r="F137" s="34"/>
      <c r="G137" s="34"/>
      <c r="H137" s="34"/>
      <c r="I137" s="26">
        <v>1.0</v>
      </c>
      <c r="J137" s="26" t="s">
        <v>35</v>
      </c>
      <c r="K137" s="35" t="s">
        <v>257</v>
      </c>
      <c r="L137" s="28"/>
      <c r="M137" s="28"/>
      <c r="N137" s="28"/>
    </row>
    <row r="138">
      <c r="A138" s="2" t="s">
        <v>267</v>
      </c>
      <c r="B138" s="4" t="s">
        <v>268</v>
      </c>
      <c r="D138" s="2" t="s">
        <v>20</v>
      </c>
      <c r="E138" s="4" t="s">
        <v>105</v>
      </c>
      <c r="F138" s="51"/>
      <c r="G138" s="51"/>
      <c r="H138" s="51"/>
      <c r="I138" s="6">
        <v>1.0</v>
      </c>
      <c r="J138" s="6" t="s">
        <v>35</v>
      </c>
      <c r="K138" s="7" t="s">
        <v>269</v>
      </c>
    </row>
    <row r="139">
      <c r="A139" s="2" t="s">
        <v>270</v>
      </c>
      <c r="B139" s="4" t="s">
        <v>268</v>
      </c>
      <c r="D139" s="2" t="s">
        <v>12</v>
      </c>
      <c r="E139" s="3" t="s">
        <v>247</v>
      </c>
      <c r="F139" s="52"/>
      <c r="G139" s="52"/>
      <c r="H139" s="52"/>
      <c r="I139" s="6">
        <v>1.0</v>
      </c>
      <c r="J139" s="6" t="s">
        <v>35</v>
      </c>
      <c r="K139" s="7" t="s">
        <v>269</v>
      </c>
    </row>
    <row r="140">
      <c r="A140" s="2" t="s">
        <v>271</v>
      </c>
      <c r="B140" s="4" t="s">
        <v>268</v>
      </c>
      <c r="D140" s="4" t="s">
        <v>23</v>
      </c>
      <c r="E140" s="4" t="s">
        <v>85</v>
      </c>
      <c r="F140" s="51"/>
      <c r="G140" s="51"/>
      <c r="H140" s="51"/>
      <c r="I140" s="6">
        <v>1.0</v>
      </c>
      <c r="J140" s="6" t="s">
        <v>35</v>
      </c>
      <c r="K140" s="7" t="s">
        <v>269</v>
      </c>
    </row>
    <row r="141">
      <c r="A141" s="2" t="s">
        <v>272</v>
      </c>
      <c r="B141" s="4" t="s">
        <v>268</v>
      </c>
      <c r="D141" s="2" t="s">
        <v>24</v>
      </c>
      <c r="E141" s="4" t="s">
        <v>85</v>
      </c>
      <c r="F141" s="51"/>
      <c r="G141" s="51"/>
      <c r="H141" s="51"/>
      <c r="I141" s="6">
        <v>1.0</v>
      </c>
      <c r="J141" s="6" t="s">
        <v>35</v>
      </c>
      <c r="K141" s="7" t="s">
        <v>269</v>
      </c>
    </row>
    <row r="142">
      <c r="A142" s="2" t="s">
        <v>273</v>
      </c>
      <c r="B142" s="4" t="s">
        <v>268</v>
      </c>
      <c r="D142" s="2" t="s">
        <v>21</v>
      </c>
      <c r="E142" s="3" t="s">
        <v>274</v>
      </c>
      <c r="F142" s="52"/>
      <c r="G142" s="52"/>
      <c r="H142" s="52"/>
      <c r="I142" s="6">
        <v>1.0</v>
      </c>
      <c r="J142" s="6" t="s">
        <v>35</v>
      </c>
      <c r="K142" s="7" t="s">
        <v>269</v>
      </c>
    </row>
    <row r="143">
      <c r="A143" s="2" t="s">
        <v>275</v>
      </c>
      <c r="B143" s="4" t="s">
        <v>268</v>
      </c>
      <c r="D143" s="4" t="s">
        <v>46</v>
      </c>
      <c r="E143" s="4" t="s">
        <v>276</v>
      </c>
      <c r="F143" s="51"/>
      <c r="G143" s="51"/>
      <c r="H143" s="51"/>
      <c r="I143" s="6">
        <v>1.0</v>
      </c>
      <c r="J143" s="6" t="s">
        <v>35</v>
      </c>
      <c r="K143" s="7" t="s">
        <v>269</v>
      </c>
    </row>
    <row r="144">
      <c r="A144" s="2" t="s">
        <v>277</v>
      </c>
      <c r="B144" s="4" t="s">
        <v>268</v>
      </c>
      <c r="D144" s="2" t="s">
        <v>25</v>
      </c>
      <c r="E144" s="4" t="s">
        <v>70</v>
      </c>
      <c r="F144" s="51"/>
      <c r="G144" s="51"/>
      <c r="H144" s="51"/>
      <c r="I144" s="6">
        <v>1.0</v>
      </c>
      <c r="J144" s="6" t="s">
        <v>35</v>
      </c>
      <c r="K144" s="7" t="s">
        <v>269</v>
      </c>
    </row>
    <row r="145">
      <c r="A145" s="2" t="s">
        <v>278</v>
      </c>
      <c r="B145" s="4" t="s">
        <v>279</v>
      </c>
      <c r="D145" s="2" t="s">
        <v>20</v>
      </c>
      <c r="E145" s="4" t="s">
        <v>105</v>
      </c>
      <c r="F145" s="51"/>
      <c r="G145" s="51"/>
      <c r="H145" s="51"/>
      <c r="I145" s="6">
        <v>1.0</v>
      </c>
      <c r="J145" s="6" t="s">
        <v>35</v>
      </c>
      <c r="K145" s="7" t="s">
        <v>280</v>
      </c>
    </row>
    <row r="146">
      <c r="A146" s="2" t="s">
        <v>281</v>
      </c>
      <c r="B146" s="4" t="s">
        <v>279</v>
      </c>
      <c r="D146" s="2" t="s">
        <v>12</v>
      </c>
      <c r="E146" s="3" t="s">
        <v>101</v>
      </c>
      <c r="F146" s="52"/>
      <c r="G146" s="52"/>
      <c r="H146" s="52"/>
      <c r="I146" s="6">
        <v>1.0</v>
      </c>
      <c r="J146" s="6" t="s">
        <v>35</v>
      </c>
      <c r="K146" s="7" t="s">
        <v>280</v>
      </c>
    </row>
    <row r="147">
      <c r="A147" s="2" t="s">
        <v>282</v>
      </c>
      <c r="B147" s="4" t="s">
        <v>279</v>
      </c>
      <c r="D147" s="23" t="s">
        <v>23</v>
      </c>
      <c r="E147" s="4" t="s">
        <v>85</v>
      </c>
      <c r="F147" s="51"/>
      <c r="G147" s="51"/>
      <c r="H147" s="51"/>
      <c r="I147" s="6">
        <v>1.0</v>
      </c>
      <c r="J147" s="6" t="s">
        <v>35</v>
      </c>
      <c r="K147" s="7" t="s">
        <v>280</v>
      </c>
    </row>
    <row r="148">
      <c r="A148" s="2" t="s">
        <v>283</v>
      </c>
      <c r="B148" s="4" t="s">
        <v>279</v>
      </c>
      <c r="D148" s="2" t="s">
        <v>24</v>
      </c>
      <c r="E148" s="4" t="s">
        <v>284</v>
      </c>
      <c r="F148" s="51"/>
      <c r="G148" s="51"/>
      <c r="H148" s="51"/>
      <c r="I148" s="6">
        <v>1.0</v>
      </c>
      <c r="J148" s="6" t="s">
        <v>35</v>
      </c>
      <c r="K148" s="7" t="s">
        <v>280</v>
      </c>
    </row>
    <row r="149">
      <c r="A149" s="2" t="s">
        <v>285</v>
      </c>
      <c r="B149" s="4" t="s">
        <v>279</v>
      </c>
      <c r="D149" s="4" t="s">
        <v>22</v>
      </c>
      <c r="E149" s="3" t="s">
        <v>98</v>
      </c>
      <c r="F149" s="51"/>
      <c r="G149" s="51"/>
      <c r="H149" s="51"/>
      <c r="I149" s="6">
        <v>1.0</v>
      </c>
      <c r="J149" s="6" t="s">
        <v>35</v>
      </c>
      <c r="K149" s="7" t="s">
        <v>280</v>
      </c>
    </row>
    <row r="150">
      <c r="A150" s="2" t="s">
        <v>286</v>
      </c>
      <c r="B150" s="4" t="s">
        <v>279</v>
      </c>
      <c r="D150" s="4" t="s">
        <v>46</v>
      </c>
      <c r="E150" s="4" t="s">
        <v>276</v>
      </c>
      <c r="F150" s="51"/>
      <c r="G150" s="51"/>
      <c r="H150" s="51"/>
      <c r="I150" s="6">
        <v>1.0</v>
      </c>
      <c r="J150" s="6" t="s">
        <v>35</v>
      </c>
      <c r="K150" s="7" t="s">
        <v>280</v>
      </c>
    </row>
    <row r="151">
      <c r="A151" s="2" t="s">
        <v>287</v>
      </c>
      <c r="B151" s="4" t="s">
        <v>279</v>
      </c>
      <c r="D151" s="4" t="s">
        <v>205</v>
      </c>
      <c r="E151" s="3" t="s">
        <v>206</v>
      </c>
      <c r="F151" s="52"/>
      <c r="G151" s="52"/>
      <c r="H151" s="52"/>
      <c r="I151" s="6">
        <v>1.0</v>
      </c>
      <c r="J151" s="6" t="s">
        <v>35</v>
      </c>
      <c r="K151" s="7" t="s">
        <v>280</v>
      </c>
    </row>
    <row r="152">
      <c r="A152" s="2" t="s">
        <v>288</v>
      </c>
      <c r="B152" s="4" t="s">
        <v>289</v>
      </c>
      <c r="D152" s="2" t="s">
        <v>20</v>
      </c>
      <c r="E152" s="4" t="s">
        <v>105</v>
      </c>
      <c r="F152" s="51"/>
      <c r="G152" s="51"/>
      <c r="H152" s="51"/>
      <c r="I152" s="6">
        <v>1.0</v>
      </c>
      <c r="J152" s="6" t="s">
        <v>35</v>
      </c>
      <c r="K152" s="7" t="s">
        <v>290</v>
      </c>
    </row>
    <row r="153">
      <c r="A153" s="2" t="s">
        <v>291</v>
      </c>
      <c r="B153" s="4" t="s">
        <v>289</v>
      </c>
      <c r="D153" s="2" t="s">
        <v>12</v>
      </c>
      <c r="E153" s="3" t="s">
        <v>247</v>
      </c>
      <c r="F153" s="51"/>
      <c r="G153" s="51"/>
      <c r="H153" s="51"/>
      <c r="I153" s="6">
        <v>1.0</v>
      </c>
      <c r="J153" s="6" t="s">
        <v>35</v>
      </c>
      <c r="K153" s="7" t="s">
        <v>290</v>
      </c>
    </row>
    <row r="154">
      <c r="A154" s="2" t="s">
        <v>292</v>
      </c>
      <c r="B154" s="4" t="s">
        <v>289</v>
      </c>
      <c r="D154" s="4" t="s">
        <v>23</v>
      </c>
      <c r="E154" s="4" t="s">
        <v>85</v>
      </c>
      <c r="F154" s="51"/>
      <c r="G154" s="51"/>
      <c r="H154" s="51"/>
      <c r="I154" s="6">
        <v>1.0</v>
      </c>
      <c r="J154" s="6" t="s">
        <v>35</v>
      </c>
      <c r="K154" s="7" t="s">
        <v>290</v>
      </c>
    </row>
    <row r="155">
      <c r="A155" s="2" t="s">
        <v>293</v>
      </c>
      <c r="B155" s="4" t="s">
        <v>289</v>
      </c>
      <c r="D155" s="2" t="s">
        <v>24</v>
      </c>
      <c r="E155" s="4" t="s">
        <v>85</v>
      </c>
      <c r="F155" s="51"/>
      <c r="G155" s="51"/>
      <c r="H155" s="51"/>
      <c r="I155" s="6">
        <v>1.0</v>
      </c>
      <c r="J155" s="6" t="s">
        <v>35</v>
      </c>
      <c r="K155" s="7" t="s">
        <v>290</v>
      </c>
    </row>
    <row r="156">
      <c r="A156" s="2" t="s">
        <v>294</v>
      </c>
      <c r="B156" s="4" t="s">
        <v>289</v>
      </c>
      <c r="D156" s="2" t="s">
        <v>21</v>
      </c>
      <c r="E156" s="3" t="s">
        <v>295</v>
      </c>
      <c r="F156" s="51"/>
      <c r="G156" s="51"/>
      <c r="H156" s="51"/>
      <c r="I156" s="6">
        <v>1.0</v>
      </c>
      <c r="J156" s="6" t="s">
        <v>35</v>
      </c>
      <c r="K156" s="7" t="s">
        <v>290</v>
      </c>
    </row>
    <row r="157">
      <c r="A157" s="2" t="s">
        <v>296</v>
      </c>
      <c r="B157" s="4" t="s">
        <v>289</v>
      </c>
      <c r="D157" s="4" t="s">
        <v>46</v>
      </c>
      <c r="E157" s="4" t="s">
        <v>276</v>
      </c>
      <c r="F157" s="51"/>
      <c r="G157" s="51"/>
      <c r="H157" s="51"/>
      <c r="I157" s="6">
        <v>1.0</v>
      </c>
      <c r="J157" s="6" t="s">
        <v>35</v>
      </c>
      <c r="K157" s="7" t="s">
        <v>290</v>
      </c>
    </row>
    <row r="158">
      <c r="A158" s="2" t="s">
        <v>297</v>
      </c>
      <c r="B158" s="4" t="s">
        <v>298</v>
      </c>
      <c r="D158" s="2" t="s">
        <v>20</v>
      </c>
      <c r="E158" s="4" t="s">
        <v>105</v>
      </c>
      <c r="F158" s="4"/>
      <c r="G158" s="4"/>
      <c r="H158" s="4"/>
      <c r="I158" s="6">
        <v>1.0</v>
      </c>
      <c r="J158" s="6" t="s">
        <v>299</v>
      </c>
      <c r="K158" s="7" t="s">
        <v>300</v>
      </c>
    </row>
    <row r="159">
      <c r="A159" s="2" t="s">
        <v>301</v>
      </c>
      <c r="B159" s="4" t="s">
        <v>298</v>
      </c>
      <c r="D159" s="23" t="s">
        <v>23</v>
      </c>
      <c r="E159" s="4" t="s">
        <v>85</v>
      </c>
      <c r="F159" s="4"/>
      <c r="G159" s="4"/>
      <c r="H159" s="4"/>
      <c r="I159" s="6">
        <v>1.0</v>
      </c>
      <c r="J159" s="6" t="s">
        <v>299</v>
      </c>
      <c r="K159" s="7" t="s">
        <v>300</v>
      </c>
    </row>
    <row r="160">
      <c r="A160" s="2" t="s">
        <v>302</v>
      </c>
      <c r="B160" s="4" t="s">
        <v>298</v>
      </c>
      <c r="D160" s="2" t="s">
        <v>24</v>
      </c>
      <c r="E160" s="4" t="s">
        <v>303</v>
      </c>
      <c r="F160" s="4"/>
      <c r="G160" s="4"/>
      <c r="H160" s="4"/>
      <c r="I160" s="6">
        <v>1.0</v>
      </c>
      <c r="J160" s="6" t="s">
        <v>299</v>
      </c>
      <c r="K160" s="7" t="s">
        <v>300</v>
      </c>
    </row>
    <row r="161">
      <c r="A161" s="2" t="s">
        <v>304</v>
      </c>
      <c r="B161" s="3" t="s">
        <v>305</v>
      </c>
      <c r="D161" s="4" t="s">
        <v>22</v>
      </c>
      <c r="E161" s="4" t="s">
        <v>116</v>
      </c>
      <c r="F161" s="4"/>
      <c r="G161" s="4"/>
      <c r="H161" s="4"/>
      <c r="I161" s="6">
        <v>1.0</v>
      </c>
      <c r="J161" s="6" t="s">
        <v>35</v>
      </c>
      <c r="K161" s="7" t="s">
        <v>306</v>
      </c>
    </row>
    <row r="162">
      <c r="A162" s="2" t="s">
        <v>307</v>
      </c>
      <c r="B162" s="9" t="s">
        <v>308</v>
      </c>
      <c r="D162" s="2" t="s">
        <v>20</v>
      </c>
      <c r="E162" s="4" t="s">
        <v>174</v>
      </c>
      <c r="F162" s="4"/>
      <c r="G162" s="4"/>
      <c r="H162" s="4"/>
      <c r="I162" s="6">
        <v>1.0</v>
      </c>
      <c r="J162" s="6" t="s">
        <v>35</v>
      </c>
      <c r="K162" s="7" t="s">
        <v>309</v>
      </c>
    </row>
    <row r="163">
      <c r="A163" s="2" t="s">
        <v>310</v>
      </c>
      <c r="B163" s="4" t="s">
        <v>308</v>
      </c>
      <c r="D163" s="2" t="s">
        <v>12</v>
      </c>
      <c r="E163" s="4" t="s">
        <v>13</v>
      </c>
      <c r="F163" s="4"/>
      <c r="G163" s="5" t="s">
        <v>14</v>
      </c>
      <c r="H163" s="5" t="s">
        <v>15</v>
      </c>
      <c r="I163" s="6">
        <v>1.0</v>
      </c>
      <c r="J163" s="6" t="s">
        <v>35</v>
      </c>
      <c r="K163" s="7" t="s">
        <v>309</v>
      </c>
    </row>
    <row r="164">
      <c r="A164" s="2" t="s">
        <v>311</v>
      </c>
      <c r="B164" s="4" t="s">
        <v>308</v>
      </c>
      <c r="D164" s="2" t="s">
        <v>25</v>
      </c>
      <c r="E164" s="4" t="s">
        <v>70</v>
      </c>
      <c r="F164" s="4"/>
      <c r="G164" s="4"/>
      <c r="H164" s="4"/>
      <c r="I164" s="6">
        <v>1.0</v>
      </c>
      <c r="J164" s="6" t="s">
        <v>35</v>
      </c>
      <c r="K164" s="7" t="s">
        <v>309</v>
      </c>
    </row>
    <row r="165">
      <c r="A165" s="2" t="s">
        <v>312</v>
      </c>
      <c r="B165" s="4" t="s">
        <v>308</v>
      </c>
      <c r="D165" s="2" t="s">
        <v>24</v>
      </c>
      <c r="E165" s="4" t="s">
        <v>85</v>
      </c>
      <c r="F165" s="4"/>
      <c r="G165" s="4"/>
      <c r="H165" s="4"/>
      <c r="I165" s="6">
        <v>1.0</v>
      </c>
      <c r="J165" s="6" t="s">
        <v>35</v>
      </c>
      <c r="K165" s="7" t="s">
        <v>309</v>
      </c>
    </row>
    <row r="166">
      <c r="A166" s="2" t="s">
        <v>313</v>
      </c>
      <c r="B166" s="4" t="s">
        <v>308</v>
      </c>
      <c r="D166" s="4" t="s">
        <v>23</v>
      </c>
      <c r="E166" s="4" t="s">
        <v>85</v>
      </c>
      <c r="F166" s="4"/>
      <c r="G166" s="4"/>
      <c r="H166" s="4"/>
      <c r="I166" s="6">
        <v>1.0</v>
      </c>
      <c r="J166" s="6" t="s">
        <v>35</v>
      </c>
      <c r="K166" s="7" t="s">
        <v>309</v>
      </c>
    </row>
    <row r="167">
      <c r="A167" s="2" t="s">
        <v>314</v>
      </c>
      <c r="B167" s="4" t="s">
        <v>308</v>
      </c>
      <c r="D167" s="4" t="s">
        <v>22</v>
      </c>
      <c r="E167" s="3" t="s">
        <v>98</v>
      </c>
      <c r="F167" s="4"/>
      <c r="G167" s="4"/>
      <c r="H167" s="4"/>
      <c r="I167" s="6">
        <v>1.0</v>
      </c>
      <c r="J167" s="6" t="s">
        <v>35</v>
      </c>
      <c r="K167" s="7" t="s">
        <v>309</v>
      </c>
    </row>
    <row r="168">
      <c r="A168" s="2" t="s">
        <v>315</v>
      </c>
      <c r="B168" s="4" t="s">
        <v>308</v>
      </c>
      <c r="D168" s="2" t="s">
        <v>21</v>
      </c>
      <c r="E168" s="3" t="s">
        <v>316</v>
      </c>
      <c r="F168" s="4"/>
      <c r="G168" s="4"/>
      <c r="H168" s="4"/>
      <c r="I168" s="6">
        <v>1.0</v>
      </c>
      <c r="J168" s="6" t="s">
        <v>35</v>
      </c>
      <c r="K168" s="7" t="s">
        <v>309</v>
      </c>
    </row>
    <row r="169">
      <c r="A169" s="2" t="s">
        <v>317</v>
      </c>
      <c r="B169" s="34" t="s">
        <v>308</v>
      </c>
      <c r="C169" s="42"/>
      <c r="D169" s="24" t="s">
        <v>21</v>
      </c>
      <c r="E169" s="49" t="s">
        <v>318</v>
      </c>
      <c r="F169" s="34"/>
      <c r="G169" s="34"/>
      <c r="H169" s="34"/>
      <c r="I169" s="26">
        <v>1.0</v>
      </c>
      <c r="J169" s="26" t="s">
        <v>35</v>
      </c>
      <c r="K169" s="35" t="s">
        <v>309</v>
      </c>
      <c r="L169" s="28"/>
      <c r="M169" s="28"/>
      <c r="N169" s="28"/>
    </row>
    <row r="170">
      <c r="A170" s="2" t="s">
        <v>319</v>
      </c>
      <c r="B170" s="4" t="s">
        <v>320</v>
      </c>
      <c r="D170" s="2" t="s">
        <v>20</v>
      </c>
      <c r="E170" s="4" t="s">
        <v>105</v>
      </c>
      <c r="F170" s="4"/>
      <c r="G170" s="4"/>
      <c r="H170" s="4"/>
      <c r="I170" s="6">
        <v>1.0</v>
      </c>
      <c r="J170" s="6" t="s">
        <v>35</v>
      </c>
      <c r="K170" s="7" t="s">
        <v>321</v>
      </c>
      <c r="N170" s="8"/>
    </row>
    <row r="171">
      <c r="A171" s="2" t="s">
        <v>322</v>
      </c>
      <c r="B171" s="4" t="s">
        <v>320</v>
      </c>
      <c r="D171" s="2" t="s">
        <v>12</v>
      </c>
      <c r="E171" s="4" t="s">
        <v>13</v>
      </c>
      <c r="F171" s="4"/>
      <c r="G171" s="5" t="s">
        <v>14</v>
      </c>
      <c r="H171" s="5" t="s">
        <v>15</v>
      </c>
      <c r="I171" s="6">
        <v>1.0</v>
      </c>
      <c r="J171" s="6" t="s">
        <v>35</v>
      </c>
      <c r="K171" s="7" t="s">
        <v>321</v>
      </c>
      <c r="N171" s="8"/>
    </row>
    <row r="172">
      <c r="A172" s="2" t="s">
        <v>323</v>
      </c>
      <c r="B172" s="4" t="s">
        <v>320</v>
      </c>
      <c r="D172" s="2" t="s">
        <v>24</v>
      </c>
      <c r="E172" s="4" t="s">
        <v>85</v>
      </c>
      <c r="F172" s="4"/>
      <c r="G172" s="4"/>
      <c r="H172" s="4"/>
      <c r="I172" s="6">
        <v>1.0</v>
      </c>
      <c r="J172" s="6" t="s">
        <v>35</v>
      </c>
      <c r="K172" s="7" t="s">
        <v>321</v>
      </c>
      <c r="N172" s="8"/>
    </row>
    <row r="173">
      <c r="A173" s="2" t="s">
        <v>324</v>
      </c>
      <c r="B173" s="3" t="s">
        <v>320</v>
      </c>
      <c r="D173" s="53" t="s">
        <v>22</v>
      </c>
      <c r="E173" s="3" t="s">
        <v>325</v>
      </c>
      <c r="F173" s="4"/>
      <c r="G173" s="4"/>
      <c r="H173" s="4"/>
      <c r="I173" s="6">
        <v>1.0</v>
      </c>
      <c r="J173" s="6" t="s">
        <v>35</v>
      </c>
      <c r="K173" s="7" t="s">
        <v>326</v>
      </c>
      <c r="N173" s="8"/>
    </row>
    <row r="174">
      <c r="A174" s="2" t="s">
        <v>327</v>
      </c>
      <c r="B174" s="4" t="s">
        <v>320</v>
      </c>
      <c r="D174" s="4" t="s">
        <v>23</v>
      </c>
      <c r="E174" s="4" t="s">
        <v>85</v>
      </c>
      <c r="F174" s="4"/>
      <c r="G174" s="4"/>
      <c r="H174" s="4"/>
      <c r="I174" s="6">
        <v>1.0</v>
      </c>
      <c r="J174" s="6" t="s">
        <v>35</v>
      </c>
      <c r="K174" s="7" t="s">
        <v>321</v>
      </c>
      <c r="N174" s="8"/>
    </row>
    <row r="175">
      <c r="A175" s="2" t="s">
        <v>328</v>
      </c>
      <c r="B175" s="4" t="s">
        <v>320</v>
      </c>
      <c r="D175" s="2" t="s">
        <v>26</v>
      </c>
      <c r="E175" s="4" t="s">
        <v>68</v>
      </c>
      <c r="F175" s="4"/>
      <c r="G175" s="4"/>
      <c r="H175" s="4"/>
      <c r="I175" s="6">
        <v>1.0</v>
      </c>
      <c r="J175" s="6" t="s">
        <v>35</v>
      </c>
      <c r="K175" s="7" t="s">
        <v>321</v>
      </c>
      <c r="N175" s="8"/>
    </row>
    <row r="176">
      <c r="A176" s="2" t="s">
        <v>329</v>
      </c>
      <c r="B176" s="4" t="s">
        <v>320</v>
      </c>
      <c r="D176" s="4" t="s">
        <v>22</v>
      </c>
      <c r="E176" s="4" t="s">
        <v>116</v>
      </c>
      <c r="F176" s="4"/>
      <c r="G176" s="4"/>
      <c r="H176" s="4"/>
      <c r="I176" s="6">
        <v>1.0</v>
      </c>
      <c r="J176" s="6" t="s">
        <v>35</v>
      </c>
      <c r="K176" s="7" t="s">
        <v>321</v>
      </c>
      <c r="N176" s="8"/>
    </row>
    <row r="177">
      <c r="A177" s="2" t="s">
        <v>330</v>
      </c>
      <c r="B177" s="4" t="s">
        <v>320</v>
      </c>
      <c r="D177" s="2" t="s">
        <v>25</v>
      </c>
      <c r="E177" s="9" t="s">
        <v>70</v>
      </c>
      <c r="F177" s="4"/>
      <c r="G177" s="4"/>
      <c r="H177" s="4"/>
      <c r="I177" s="6">
        <v>1.0</v>
      </c>
      <c r="J177" s="6" t="s">
        <v>35</v>
      </c>
      <c r="K177" s="7" t="s">
        <v>321</v>
      </c>
      <c r="N177" s="8"/>
    </row>
    <row r="178">
      <c r="A178" s="2" t="s">
        <v>331</v>
      </c>
      <c r="B178" s="7" t="s">
        <v>320</v>
      </c>
      <c r="D178" s="2" t="s">
        <v>22</v>
      </c>
      <c r="E178" s="3" t="s">
        <v>332</v>
      </c>
      <c r="F178" s="4"/>
      <c r="G178" s="4"/>
      <c r="H178" s="4"/>
      <c r="I178" s="6">
        <v>1.0</v>
      </c>
      <c r="J178" s="6" t="s">
        <v>35</v>
      </c>
      <c r="K178" s="7" t="s">
        <v>321</v>
      </c>
      <c r="N178" s="8"/>
    </row>
    <row r="179">
      <c r="A179" s="2" t="s">
        <v>333</v>
      </c>
      <c r="B179" s="4" t="s">
        <v>334</v>
      </c>
      <c r="D179" s="2" t="s">
        <v>20</v>
      </c>
      <c r="E179" s="4" t="s">
        <v>105</v>
      </c>
      <c r="F179" s="4"/>
      <c r="G179" s="4"/>
      <c r="H179" s="4"/>
      <c r="I179" s="6">
        <v>1.0</v>
      </c>
      <c r="J179" s="6" t="s">
        <v>35</v>
      </c>
      <c r="K179" s="7" t="s">
        <v>335</v>
      </c>
      <c r="N179" s="8"/>
    </row>
    <row r="180">
      <c r="A180" s="2" t="s">
        <v>336</v>
      </c>
      <c r="B180" s="4" t="s">
        <v>337</v>
      </c>
      <c r="D180" s="2" t="s">
        <v>12</v>
      </c>
      <c r="E180" s="4" t="s">
        <v>13</v>
      </c>
      <c r="F180" s="4"/>
      <c r="G180" s="5" t="s">
        <v>14</v>
      </c>
      <c r="H180" s="5" t="s">
        <v>15</v>
      </c>
      <c r="I180" s="6">
        <v>1.0</v>
      </c>
      <c r="J180" s="6" t="s">
        <v>35</v>
      </c>
      <c r="K180" s="7" t="s">
        <v>335</v>
      </c>
      <c r="N180" s="8"/>
    </row>
    <row r="181">
      <c r="A181" s="2" t="s">
        <v>338</v>
      </c>
      <c r="B181" s="4" t="s">
        <v>337</v>
      </c>
      <c r="D181" s="23" t="s">
        <v>23</v>
      </c>
      <c r="E181" s="4" t="s">
        <v>85</v>
      </c>
      <c r="F181" s="4"/>
      <c r="G181" s="4"/>
      <c r="H181" s="4"/>
      <c r="I181" s="6">
        <v>1.0</v>
      </c>
      <c r="J181" s="6" t="s">
        <v>35</v>
      </c>
      <c r="K181" s="7" t="s">
        <v>335</v>
      </c>
      <c r="N181" s="8"/>
    </row>
    <row r="182">
      <c r="A182" s="2" t="s">
        <v>339</v>
      </c>
      <c r="B182" s="4" t="s">
        <v>334</v>
      </c>
      <c r="D182" s="2" t="s">
        <v>24</v>
      </c>
      <c r="E182" s="4" t="s">
        <v>85</v>
      </c>
      <c r="F182" s="4"/>
      <c r="G182" s="4"/>
      <c r="H182" s="4"/>
      <c r="I182" s="6">
        <v>1.0</v>
      </c>
      <c r="J182" s="6" t="s">
        <v>35</v>
      </c>
      <c r="K182" s="7" t="s">
        <v>335</v>
      </c>
      <c r="N182" s="8"/>
    </row>
    <row r="183">
      <c r="A183" s="2" t="s">
        <v>340</v>
      </c>
      <c r="B183" s="4" t="s">
        <v>334</v>
      </c>
      <c r="D183" s="2" t="s">
        <v>28</v>
      </c>
      <c r="E183" s="4" t="s">
        <v>138</v>
      </c>
      <c r="F183" s="4"/>
      <c r="G183" s="4"/>
      <c r="H183" s="4"/>
      <c r="I183" s="6">
        <v>1.0</v>
      </c>
      <c r="J183" s="6" t="s">
        <v>35</v>
      </c>
      <c r="K183" s="7" t="s">
        <v>335</v>
      </c>
      <c r="N183" s="8"/>
    </row>
    <row r="184">
      <c r="A184" s="2" t="s">
        <v>341</v>
      </c>
      <c r="B184" s="4" t="s">
        <v>334</v>
      </c>
      <c r="D184" s="4" t="s">
        <v>22</v>
      </c>
      <c r="E184" s="4" t="s">
        <v>342</v>
      </c>
      <c r="F184" s="4"/>
      <c r="G184" s="4"/>
      <c r="H184" s="4"/>
      <c r="I184" s="6">
        <v>1.0</v>
      </c>
      <c r="J184" s="6" t="s">
        <v>35</v>
      </c>
      <c r="K184" s="7" t="s">
        <v>335</v>
      </c>
      <c r="N184" s="8"/>
    </row>
    <row r="185">
      <c r="A185" s="2" t="s">
        <v>343</v>
      </c>
      <c r="B185" s="3" t="s">
        <v>334</v>
      </c>
      <c r="D185" s="2" t="s">
        <v>22</v>
      </c>
      <c r="E185" s="3" t="s">
        <v>344</v>
      </c>
      <c r="F185" s="4"/>
      <c r="G185" s="4"/>
      <c r="H185" s="4"/>
      <c r="I185" s="6">
        <v>1.0</v>
      </c>
      <c r="J185" s="6" t="s">
        <v>35</v>
      </c>
      <c r="K185" s="7" t="s">
        <v>335</v>
      </c>
      <c r="N185" s="8"/>
    </row>
    <row r="186">
      <c r="A186" s="2" t="s">
        <v>345</v>
      </c>
      <c r="B186" s="34" t="s">
        <v>334</v>
      </c>
      <c r="C186" s="25"/>
      <c r="D186" s="24" t="s">
        <v>21</v>
      </c>
      <c r="E186" s="49" t="s">
        <v>346</v>
      </c>
      <c r="F186" s="34"/>
      <c r="G186" s="34"/>
      <c r="H186" s="34"/>
      <c r="I186" s="26">
        <v>1.0</v>
      </c>
      <c r="J186" s="26" t="s">
        <v>35</v>
      </c>
      <c r="K186" s="35" t="s">
        <v>335</v>
      </c>
      <c r="L186" s="28"/>
      <c r="M186" s="28"/>
      <c r="N186" s="47"/>
    </row>
    <row r="187">
      <c r="A187" s="2" t="s">
        <v>347</v>
      </c>
      <c r="B187" s="4" t="s">
        <v>348</v>
      </c>
      <c r="D187" s="2" t="s">
        <v>20</v>
      </c>
      <c r="E187" s="4" t="s">
        <v>349</v>
      </c>
      <c r="F187" s="4"/>
      <c r="G187" s="4"/>
      <c r="H187" s="4"/>
      <c r="I187" s="6">
        <v>1.0</v>
      </c>
      <c r="J187" s="6" t="s">
        <v>35</v>
      </c>
      <c r="K187" s="7" t="s">
        <v>350</v>
      </c>
      <c r="N187" s="8"/>
    </row>
    <row r="188">
      <c r="A188" s="2" t="s">
        <v>351</v>
      </c>
      <c r="B188" s="4" t="s">
        <v>348</v>
      </c>
      <c r="D188" s="2" t="s">
        <v>12</v>
      </c>
      <c r="E188" s="4" t="s">
        <v>13</v>
      </c>
      <c r="F188" s="4"/>
      <c r="G188" s="5" t="s">
        <v>14</v>
      </c>
      <c r="H188" s="5" t="s">
        <v>15</v>
      </c>
      <c r="I188" s="6">
        <v>1.0</v>
      </c>
      <c r="J188" s="6" t="s">
        <v>35</v>
      </c>
      <c r="K188" s="7" t="s">
        <v>350</v>
      </c>
      <c r="N188" s="8"/>
    </row>
    <row r="189">
      <c r="A189" s="2" t="s">
        <v>352</v>
      </c>
      <c r="B189" s="4" t="s">
        <v>348</v>
      </c>
      <c r="D189" s="23" t="s">
        <v>23</v>
      </c>
      <c r="E189" s="4" t="s">
        <v>138</v>
      </c>
      <c r="F189" s="4"/>
      <c r="G189" s="4"/>
      <c r="H189" s="4"/>
      <c r="I189" s="6">
        <v>1.0</v>
      </c>
      <c r="J189" s="6" t="s">
        <v>35</v>
      </c>
      <c r="K189" s="7" t="s">
        <v>350</v>
      </c>
      <c r="N189" s="8"/>
    </row>
    <row r="190">
      <c r="A190" s="2" t="s">
        <v>353</v>
      </c>
      <c r="B190" s="4" t="s">
        <v>348</v>
      </c>
      <c r="D190" s="2" t="s">
        <v>24</v>
      </c>
      <c r="E190" s="4" t="s">
        <v>354</v>
      </c>
      <c r="F190" s="4"/>
      <c r="G190" s="4"/>
      <c r="H190" s="4"/>
      <c r="I190" s="6">
        <v>1.0</v>
      </c>
      <c r="J190" s="6" t="s">
        <v>35</v>
      </c>
      <c r="K190" s="7" t="s">
        <v>350</v>
      </c>
      <c r="N190" s="8"/>
    </row>
    <row r="191">
      <c r="A191" s="2" t="s">
        <v>355</v>
      </c>
      <c r="B191" s="4" t="s">
        <v>348</v>
      </c>
      <c r="D191" s="2" t="s">
        <v>28</v>
      </c>
      <c r="E191" s="4" t="s">
        <v>62</v>
      </c>
      <c r="F191" s="4"/>
      <c r="G191" s="4"/>
      <c r="H191" s="4"/>
      <c r="I191" s="6">
        <v>1.0</v>
      </c>
      <c r="J191" s="6" t="s">
        <v>35</v>
      </c>
      <c r="K191" s="7" t="s">
        <v>350</v>
      </c>
      <c r="N191" s="8"/>
    </row>
    <row r="192">
      <c r="A192" s="2" t="s">
        <v>356</v>
      </c>
      <c r="B192" s="3" t="s">
        <v>348</v>
      </c>
      <c r="D192" s="2" t="s">
        <v>22</v>
      </c>
      <c r="E192" s="3" t="s">
        <v>325</v>
      </c>
      <c r="F192" s="4"/>
      <c r="G192" s="4"/>
      <c r="H192" s="4"/>
      <c r="I192" s="6">
        <v>1.0</v>
      </c>
      <c r="J192" s="6" t="s">
        <v>35</v>
      </c>
      <c r="K192" s="7" t="s">
        <v>350</v>
      </c>
      <c r="N192" s="8"/>
    </row>
    <row r="193">
      <c r="A193" s="2" t="s">
        <v>357</v>
      </c>
      <c r="B193" s="34" t="s">
        <v>348</v>
      </c>
      <c r="C193" s="42"/>
      <c r="D193" s="24" t="s">
        <v>26</v>
      </c>
      <c r="E193" s="34" t="s">
        <v>68</v>
      </c>
      <c r="F193" s="34"/>
      <c r="G193" s="34"/>
      <c r="H193" s="34"/>
      <c r="I193" s="26">
        <v>1.0</v>
      </c>
      <c r="J193" s="26" t="s">
        <v>35</v>
      </c>
      <c r="K193" s="35" t="s">
        <v>350</v>
      </c>
      <c r="L193" s="28"/>
      <c r="M193" s="28"/>
      <c r="N193" s="47"/>
    </row>
    <row r="194">
      <c r="A194" s="2" t="s">
        <v>358</v>
      </c>
      <c r="B194" s="4" t="s">
        <v>359</v>
      </c>
      <c r="D194" s="2" t="s">
        <v>20</v>
      </c>
      <c r="E194" s="3" t="s">
        <v>360</v>
      </c>
      <c r="F194" s="4"/>
      <c r="G194" s="4"/>
      <c r="H194" s="4"/>
      <c r="I194" s="6">
        <v>1.0</v>
      </c>
      <c r="J194" s="6" t="s">
        <v>35</v>
      </c>
      <c r="K194" s="7" t="s">
        <v>361</v>
      </c>
      <c r="N194" s="8"/>
    </row>
    <row r="195">
      <c r="A195" s="2" t="s">
        <v>362</v>
      </c>
      <c r="B195" s="4" t="s">
        <v>363</v>
      </c>
      <c r="D195" s="2" t="s">
        <v>12</v>
      </c>
      <c r="E195" s="4" t="s">
        <v>13</v>
      </c>
      <c r="F195" s="4"/>
      <c r="G195" s="5" t="s">
        <v>14</v>
      </c>
      <c r="H195" s="5" t="s">
        <v>15</v>
      </c>
      <c r="I195" s="6">
        <v>1.0</v>
      </c>
      <c r="J195" s="6" t="s">
        <v>35</v>
      </c>
      <c r="K195" s="7" t="s">
        <v>361</v>
      </c>
      <c r="N195" s="8"/>
    </row>
    <row r="196">
      <c r="A196" s="2" t="s">
        <v>364</v>
      </c>
      <c r="B196" s="4" t="s">
        <v>363</v>
      </c>
      <c r="D196" s="2" t="s">
        <v>24</v>
      </c>
      <c r="E196" s="4" t="s">
        <v>365</v>
      </c>
      <c r="F196" s="4"/>
      <c r="G196" s="4"/>
      <c r="H196" s="4"/>
      <c r="I196" s="6">
        <v>1.0</v>
      </c>
      <c r="J196" s="6" t="s">
        <v>35</v>
      </c>
      <c r="K196" s="7" t="s">
        <v>361</v>
      </c>
      <c r="N196" s="8"/>
    </row>
    <row r="197">
      <c r="A197" s="2" t="s">
        <v>366</v>
      </c>
      <c r="B197" s="4" t="s">
        <v>363</v>
      </c>
      <c r="D197" s="23" t="s">
        <v>23</v>
      </c>
      <c r="E197" s="4" t="s">
        <v>85</v>
      </c>
      <c r="F197" s="4"/>
      <c r="G197" s="4"/>
      <c r="H197" s="4"/>
      <c r="I197" s="6">
        <v>1.0</v>
      </c>
      <c r="J197" s="6" t="s">
        <v>35</v>
      </c>
      <c r="K197" s="7" t="s">
        <v>361</v>
      </c>
      <c r="N197" s="8"/>
    </row>
    <row r="198">
      <c r="A198" s="2" t="s">
        <v>367</v>
      </c>
      <c r="B198" s="4" t="s">
        <v>363</v>
      </c>
      <c r="D198" s="4" t="s">
        <v>22</v>
      </c>
      <c r="E198" s="3" t="s">
        <v>325</v>
      </c>
      <c r="F198" s="4"/>
      <c r="G198" s="4"/>
      <c r="H198" s="4"/>
      <c r="I198" s="6">
        <v>1.0</v>
      </c>
      <c r="J198" s="6" t="s">
        <v>35</v>
      </c>
      <c r="K198" s="7" t="s">
        <v>361</v>
      </c>
      <c r="N198" s="8"/>
    </row>
    <row r="199">
      <c r="A199" s="2" t="s">
        <v>368</v>
      </c>
      <c r="B199" s="4" t="s">
        <v>363</v>
      </c>
      <c r="D199" s="2" t="s">
        <v>26</v>
      </c>
      <c r="E199" s="4" t="s">
        <v>68</v>
      </c>
      <c r="F199" s="4"/>
      <c r="G199" s="4"/>
      <c r="H199" s="4"/>
      <c r="I199" s="6">
        <v>1.0</v>
      </c>
      <c r="J199" s="6" t="s">
        <v>35</v>
      </c>
      <c r="K199" s="7" t="s">
        <v>361</v>
      </c>
      <c r="N199" s="8"/>
    </row>
    <row r="200">
      <c r="A200" s="2" t="s">
        <v>369</v>
      </c>
      <c r="B200" s="34" t="s">
        <v>363</v>
      </c>
      <c r="C200" s="25"/>
      <c r="D200" s="24" t="s">
        <v>28</v>
      </c>
      <c r="E200" s="34" t="s">
        <v>138</v>
      </c>
      <c r="F200" s="34"/>
      <c r="G200" s="34"/>
      <c r="H200" s="34"/>
      <c r="I200" s="26">
        <v>1.0</v>
      </c>
      <c r="J200" s="26" t="s">
        <v>35</v>
      </c>
      <c r="K200" s="35" t="s">
        <v>361</v>
      </c>
      <c r="L200" s="28"/>
      <c r="M200" s="28"/>
      <c r="N200" s="47"/>
    </row>
    <row r="201">
      <c r="A201" s="2" t="s">
        <v>370</v>
      </c>
      <c r="B201" s="4" t="s">
        <v>371</v>
      </c>
      <c r="D201" s="2" t="s">
        <v>20</v>
      </c>
      <c r="E201" s="4" t="s">
        <v>372</v>
      </c>
      <c r="F201" s="4"/>
      <c r="G201" s="4"/>
      <c r="H201" s="4"/>
      <c r="I201" s="6">
        <v>1.0</v>
      </c>
      <c r="J201" s="6" t="s">
        <v>35</v>
      </c>
      <c r="K201" s="7" t="s">
        <v>373</v>
      </c>
      <c r="N201" s="8"/>
    </row>
    <row r="202">
      <c r="A202" s="2" t="s">
        <v>374</v>
      </c>
      <c r="B202" s="4" t="s">
        <v>371</v>
      </c>
      <c r="D202" s="2" t="s">
        <v>12</v>
      </c>
      <c r="E202" s="4" t="s">
        <v>13</v>
      </c>
      <c r="F202" s="4"/>
      <c r="G202" s="5" t="s">
        <v>14</v>
      </c>
      <c r="H202" s="5" t="s">
        <v>15</v>
      </c>
      <c r="I202" s="6">
        <v>1.0</v>
      </c>
      <c r="J202" s="6" t="s">
        <v>35</v>
      </c>
      <c r="K202" s="7" t="s">
        <v>373</v>
      </c>
      <c r="N202" s="8"/>
    </row>
    <row r="203">
      <c r="A203" s="2" t="s">
        <v>375</v>
      </c>
      <c r="B203" s="4" t="s">
        <v>371</v>
      </c>
      <c r="D203" s="23" t="s">
        <v>23</v>
      </c>
      <c r="E203" s="4" t="s">
        <v>85</v>
      </c>
      <c r="F203" s="4"/>
      <c r="G203" s="4"/>
      <c r="H203" s="4"/>
      <c r="I203" s="6">
        <v>1.0</v>
      </c>
      <c r="J203" s="6" t="s">
        <v>35</v>
      </c>
      <c r="K203" s="7" t="s">
        <v>373</v>
      </c>
      <c r="N203" s="8"/>
    </row>
    <row r="204">
      <c r="A204" s="2" t="s">
        <v>376</v>
      </c>
      <c r="B204" s="4" t="s">
        <v>371</v>
      </c>
      <c r="D204" s="2" t="s">
        <v>24</v>
      </c>
      <c r="E204" s="4" t="s">
        <v>85</v>
      </c>
      <c r="F204" s="4"/>
      <c r="G204" s="4"/>
      <c r="H204" s="4"/>
      <c r="I204" s="6">
        <v>1.0</v>
      </c>
      <c r="J204" s="6" t="s">
        <v>35</v>
      </c>
      <c r="K204" s="7" t="s">
        <v>373</v>
      </c>
      <c r="N204" s="8"/>
    </row>
    <row r="205">
      <c r="A205" s="2" t="s">
        <v>377</v>
      </c>
      <c r="B205" s="4" t="s">
        <v>371</v>
      </c>
      <c r="D205" s="2" t="s">
        <v>25</v>
      </c>
      <c r="E205" s="4" t="s">
        <v>378</v>
      </c>
      <c r="F205" s="4"/>
      <c r="G205" s="4"/>
      <c r="H205" s="4"/>
      <c r="I205" s="6">
        <v>1.0</v>
      </c>
      <c r="J205" s="6" t="s">
        <v>35</v>
      </c>
      <c r="K205" s="7" t="s">
        <v>373</v>
      </c>
      <c r="N205" s="8"/>
    </row>
    <row r="206">
      <c r="A206" s="2" t="s">
        <v>379</v>
      </c>
      <c r="B206" s="4" t="s">
        <v>371</v>
      </c>
      <c r="D206" s="2" t="s">
        <v>26</v>
      </c>
      <c r="E206" s="4" t="s">
        <v>68</v>
      </c>
      <c r="F206" s="4"/>
      <c r="G206" s="4"/>
      <c r="H206" s="4"/>
      <c r="I206" s="6">
        <v>1.0</v>
      </c>
      <c r="J206" s="6" t="s">
        <v>35</v>
      </c>
      <c r="K206" s="7" t="s">
        <v>373</v>
      </c>
      <c r="N206" s="8"/>
    </row>
    <row r="207">
      <c r="A207" s="2" t="s">
        <v>380</v>
      </c>
      <c r="B207" s="3" t="s">
        <v>371</v>
      </c>
      <c r="D207" s="2" t="s">
        <v>22</v>
      </c>
      <c r="E207" s="3" t="s">
        <v>381</v>
      </c>
      <c r="F207" s="4"/>
      <c r="G207" s="4"/>
      <c r="H207" s="4"/>
      <c r="I207" s="6">
        <v>1.0</v>
      </c>
      <c r="J207" s="6" t="s">
        <v>35</v>
      </c>
      <c r="K207" s="7" t="s">
        <v>373</v>
      </c>
      <c r="N207" s="8"/>
    </row>
    <row r="208">
      <c r="A208" s="2" t="s">
        <v>382</v>
      </c>
      <c r="B208" s="4" t="s">
        <v>371</v>
      </c>
      <c r="D208" s="2" t="s">
        <v>28</v>
      </c>
      <c r="E208" s="3" t="s">
        <v>62</v>
      </c>
      <c r="F208" s="4"/>
      <c r="G208" s="4"/>
      <c r="H208" s="4"/>
      <c r="I208" s="6">
        <v>1.0</v>
      </c>
      <c r="J208" s="6" t="s">
        <v>35</v>
      </c>
      <c r="K208" s="7" t="s">
        <v>373</v>
      </c>
      <c r="N208" s="8"/>
    </row>
    <row r="209">
      <c r="A209" s="2" t="s">
        <v>383</v>
      </c>
      <c r="B209" s="3" t="s">
        <v>371</v>
      </c>
      <c r="D209" s="3" t="s">
        <v>22</v>
      </c>
      <c r="E209" s="54" t="s">
        <v>384</v>
      </c>
      <c r="F209" s="4"/>
      <c r="G209" s="4"/>
      <c r="H209" s="4"/>
      <c r="I209" s="6">
        <v>1.0</v>
      </c>
      <c r="J209" s="6" t="s">
        <v>35</v>
      </c>
      <c r="K209" s="7" t="s">
        <v>373</v>
      </c>
      <c r="N209" s="8"/>
    </row>
    <row r="210">
      <c r="A210" s="2" t="s">
        <v>385</v>
      </c>
      <c r="B210" s="4" t="s">
        <v>371</v>
      </c>
      <c r="D210" s="3" t="s">
        <v>386</v>
      </c>
      <c r="E210" s="55" t="s">
        <v>387</v>
      </c>
      <c r="F210" s="4"/>
      <c r="G210" s="4"/>
      <c r="H210" s="4"/>
      <c r="I210" s="6">
        <v>1.0</v>
      </c>
      <c r="J210" s="6" t="s">
        <v>35</v>
      </c>
      <c r="K210" s="7" t="s">
        <v>373</v>
      </c>
      <c r="N210" s="8"/>
    </row>
    <row r="211">
      <c r="A211" s="2" t="s">
        <v>388</v>
      </c>
      <c r="B211" s="4" t="s">
        <v>389</v>
      </c>
      <c r="D211" s="2" t="s">
        <v>20</v>
      </c>
      <c r="E211" s="4" t="s">
        <v>390</v>
      </c>
      <c r="F211" s="4"/>
      <c r="G211" s="4"/>
      <c r="H211" s="4"/>
      <c r="I211" s="6">
        <v>1.0</v>
      </c>
      <c r="J211" s="6" t="s">
        <v>35</v>
      </c>
      <c r="K211" s="7" t="s">
        <v>391</v>
      </c>
      <c r="N211" s="8"/>
    </row>
    <row r="212">
      <c r="A212" s="2" t="s">
        <v>392</v>
      </c>
      <c r="B212" s="4" t="s">
        <v>389</v>
      </c>
      <c r="D212" s="2" t="s">
        <v>12</v>
      </c>
      <c r="E212" s="4" t="s">
        <v>13</v>
      </c>
      <c r="F212" s="4"/>
      <c r="G212" s="5" t="s">
        <v>14</v>
      </c>
      <c r="H212" s="5" t="s">
        <v>15</v>
      </c>
      <c r="I212" s="6">
        <v>1.0</v>
      </c>
      <c r="J212" s="6" t="s">
        <v>35</v>
      </c>
      <c r="K212" s="7" t="s">
        <v>391</v>
      </c>
      <c r="N212" s="8"/>
    </row>
    <row r="213">
      <c r="A213" s="2" t="s">
        <v>393</v>
      </c>
      <c r="B213" s="4" t="s">
        <v>389</v>
      </c>
      <c r="D213" s="23" t="s">
        <v>23</v>
      </c>
      <c r="E213" s="4" t="s">
        <v>85</v>
      </c>
      <c r="F213" s="4"/>
      <c r="G213" s="4"/>
      <c r="H213" s="4"/>
      <c r="I213" s="6">
        <v>1.0</v>
      </c>
      <c r="J213" s="6" t="s">
        <v>35</v>
      </c>
      <c r="K213" s="7" t="s">
        <v>391</v>
      </c>
      <c r="N213" s="8"/>
    </row>
    <row r="214">
      <c r="A214" s="2" t="s">
        <v>394</v>
      </c>
      <c r="B214" s="4" t="s">
        <v>389</v>
      </c>
      <c r="D214" s="2" t="s">
        <v>24</v>
      </c>
      <c r="E214" s="4" t="s">
        <v>85</v>
      </c>
      <c r="F214" s="4"/>
      <c r="G214" s="4"/>
      <c r="H214" s="4"/>
      <c r="I214" s="6">
        <v>1.0</v>
      </c>
      <c r="J214" s="6" t="s">
        <v>35</v>
      </c>
      <c r="K214" s="7" t="s">
        <v>391</v>
      </c>
      <c r="N214" s="8"/>
    </row>
    <row r="215">
      <c r="A215" s="2" t="s">
        <v>395</v>
      </c>
      <c r="B215" s="4" t="s">
        <v>389</v>
      </c>
      <c r="D215" s="4" t="s">
        <v>22</v>
      </c>
      <c r="E215" s="3" t="s">
        <v>381</v>
      </c>
      <c r="F215" s="4"/>
      <c r="G215" s="4"/>
      <c r="H215" s="4"/>
      <c r="I215" s="6">
        <v>1.0</v>
      </c>
      <c r="J215" s="6" t="s">
        <v>35</v>
      </c>
      <c r="K215" s="7" t="s">
        <v>391</v>
      </c>
      <c r="N215" s="8"/>
    </row>
    <row r="216">
      <c r="A216" s="2" t="s">
        <v>396</v>
      </c>
      <c r="B216" s="4" t="s">
        <v>389</v>
      </c>
      <c r="D216" s="2" t="s">
        <v>21</v>
      </c>
      <c r="E216" s="3" t="s">
        <v>110</v>
      </c>
      <c r="F216" s="4"/>
      <c r="G216" s="4"/>
      <c r="H216" s="4"/>
      <c r="I216" s="6">
        <v>1.0</v>
      </c>
      <c r="J216" s="6" t="s">
        <v>35</v>
      </c>
      <c r="K216" s="7" t="s">
        <v>391</v>
      </c>
      <c r="N216" s="8"/>
    </row>
    <row r="217">
      <c r="A217" s="2" t="s">
        <v>397</v>
      </c>
      <c r="B217" s="34" t="s">
        <v>389</v>
      </c>
      <c r="C217" s="42"/>
      <c r="D217" s="24" t="s">
        <v>28</v>
      </c>
      <c r="E217" s="34" t="s">
        <v>68</v>
      </c>
      <c r="F217" s="34"/>
      <c r="G217" s="34"/>
      <c r="H217" s="34"/>
      <c r="I217" s="26">
        <v>1.0</v>
      </c>
      <c r="J217" s="26" t="s">
        <v>35</v>
      </c>
      <c r="K217" s="35" t="s">
        <v>391</v>
      </c>
      <c r="L217" s="28"/>
      <c r="M217" s="28"/>
      <c r="N217" s="47"/>
    </row>
    <row r="218">
      <c r="A218" s="2" t="s">
        <v>398</v>
      </c>
      <c r="B218" s="4" t="s">
        <v>399</v>
      </c>
      <c r="D218" s="2" t="s">
        <v>20</v>
      </c>
      <c r="E218" s="4" t="s">
        <v>400</v>
      </c>
      <c r="F218" s="4"/>
      <c r="G218" s="4"/>
      <c r="H218" s="4"/>
      <c r="I218" s="6">
        <v>1.0</v>
      </c>
      <c r="J218" s="6" t="s">
        <v>35</v>
      </c>
      <c r="K218" s="7" t="s">
        <v>401</v>
      </c>
      <c r="N218" s="8"/>
    </row>
    <row r="219">
      <c r="A219" s="2" t="s">
        <v>402</v>
      </c>
      <c r="B219" s="4" t="s">
        <v>399</v>
      </c>
      <c r="D219" s="2" t="s">
        <v>20</v>
      </c>
      <c r="E219" s="4" t="s">
        <v>58</v>
      </c>
      <c r="F219" s="4"/>
      <c r="G219" s="4"/>
      <c r="H219" s="4"/>
      <c r="I219" s="6">
        <v>1.0</v>
      </c>
      <c r="J219" s="6" t="s">
        <v>35</v>
      </c>
      <c r="K219" s="7" t="s">
        <v>401</v>
      </c>
      <c r="N219" s="8"/>
    </row>
    <row r="220">
      <c r="A220" s="2" t="s">
        <v>403</v>
      </c>
      <c r="B220" s="4" t="s">
        <v>399</v>
      </c>
      <c r="D220" s="2" t="s">
        <v>12</v>
      </c>
      <c r="E220" s="3" t="s">
        <v>55</v>
      </c>
      <c r="F220" s="4"/>
      <c r="G220" s="4"/>
      <c r="H220" s="4"/>
      <c r="I220" s="6">
        <v>1.0</v>
      </c>
      <c r="J220" s="6" t="s">
        <v>35</v>
      </c>
      <c r="K220" s="7" t="s">
        <v>401</v>
      </c>
      <c r="N220" s="8"/>
    </row>
    <row r="221">
      <c r="A221" s="2" t="s">
        <v>404</v>
      </c>
      <c r="B221" s="4" t="s">
        <v>399</v>
      </c>
      <c r="D221" s="2" t="s">
        <v>24</v>
      </c>
      <c r="E221" s="4" t="s">
        <v>85</v>
      </c>
      <c r="F221" s="4"/>
      <c r="G221" s="4"/>
      <c r="H221" s="4"/>
      <c r="I221" s="6">
        <v>1.0</v>
      </c>
      <c r="J221" s="6" t="s">
        <v>35</v>
      </c>
      <c r="K221" s="7" t="s">
        <v>401</v>
      </c>
      <c r="N221" s="8"/>
    </row>
    <row r="222">
      <c r="A222" s="2" t="s">
        <v>405</v>
      </c>
      <c r="B222" s="4" t="s">
        <v>399</v>
      </c>
      <c r="D222" s="4" t="s">
        <v>23</v>
      </c>
      <c r="E222" s="4" t="s">
        <v>85</v>
      </c>
      <c r="F222" s="4"/>
      <c r="G222" s="4"/>
      <c r="H222" s="4"/>
      <c r="I222" s="6">
        <v>1.0</v>
      </c>
      <c r="J222" s="6" t="s">
        <v>35</v>
      </c>
      <c r="K222" s="7" t="s">
        <v>401</v>
      </c>
      <c r="N222" s="8"/>
    </row>
    <row r="223">
      <c r="A223" s="2" t="s">
        <v>406</v>
      </c>
      <c r="B223" s="4" t="s">
        <v>399</v>
      </c>
      <c r="D223" s="2" t="s">
        <v>25</v>
      </c>
      <c r="E223" s="4" t="s">
        <v>240</v>
      </c>
      <c r="F223" s="4"/>
      <c r="G223" s="4"/>
      <c r="H223" s="4"/>
      <c r="I223" s="6">
        <v>1.0</v>
      </c>
      <c r="J223" s="6" t="s">
        <v>35</v>
      </c>
      <c r="K223" s="7" t="s">
        <v>401</v>
      </c>
      <c r="N223" s="8"/>
    </row>
    <row r="224">
      <c r="A224" s="2" t="s">
        <v>407</v>
      </c>
      <c r="B224" s="4" t="s">
        <v>399</v>
      </c>
      <c r="D224" s="2" t="s">
        <v>21</v>
      </c>
      <c r="E224" s="3" t="s">
        <v>408</v>
      </c>
      <c r="F224" s="4"/>
      <c r="G224" s="4"/>
      <c r="H224" s="4"/>
      <c r="I224" s="6">
        <v>1.0</v>
      </c>
      <c r="J224" s="6" t="s">
        <v>35</v>
      </c>
      <c r="K224" s="7" t="s">
        <v>401</v>
      </c>
      <c r="N224" s="8"/>
    </row>
    <row r="225">
      <c r="A225" s="2" t="s">
        <v>409</v>
      </c>
      <c r="B225" s="3" t="s">
        <v>399</v>
      </c>
      <c r="D225" s="2" t="s">
        <v>28</v>
      </c>
      <c r="E225" s="3" t="s">
        <v>62</v>
      </c>
      <c r="F225" s="4"/>
      <c r="G225" s="4"/>
      <c r="H225" s="4"/>
      <c r="I225" s="6">
        <v>1.0</v>
      </c>
      <c r="J225" s="6" t="s">
        <v>35</v>
      </c>
      <c r="K225" s="7" t="s">
        <v>401</v>
      </c>
      <c r="N225" s="8"/>
    </row>
    <row r="226">
      <c r="A226" s="2" t="s">
        <v>410</v>
      </c>
      <c r="B226" s="3" t="s">
        <v>399</v>
      </c>
      <c r="D226" s="3" t="s">
        <v>22</v>
      </c>
      <c r="E226" s="3" t="s">
        <v>411</v>
      </c>
      <c r="F226" s="4"/>
      <c r="G226" s="4"/>
      <c r="H226" s="4"/>
      <c r="I226" s="6">
        <v>1.0</v>
      </c>
      <c r="J226" s="6" t="s">
        <v>35</v>
      </c>
      <c r="K226" s="7" t="s">
        <v>401</v>
      </c>
      <c r="N226" s="8"/>
    </row>
    <row r="227">
      <c r="A227" s="2" t="s">
        <v>412</v>
      </c>
      <c r="B227" s="34" t="s">
        <v>399</v>
      </c>
      <c r="C227" s="42"/>
      <c r="D227" s="34" t="s">
        <v>22</v>
      </c>
      <c r="E227" s="34" t="s">
        <v>413</v>
      </c>
      <c r="F227" s="34"/>
      <c r="G227" s="34"/>
      <c r="H227" s="34"/>
      <c r="I227" s="6">
        <v>1.0</v>
      </c>
      <c r="J227" s="26" t="s">
        <v>35</v>
      </c>
      <c r="K227" s="35" t="s">
        <v>401</v>
      </c>
      <c r="L227" s="28"/>
      <c r="M227" s="28"/>
      <c r="N227" s="47"/>
    </row>
    <row r="228">
      <c r="A228" s="2" t="s">
        <v>414</v>
      </c>
      <c r="B228" s="29" t="s">
        <v>415</v>
      </c>
      <c r="C228" s="56"/>
      <c r="D228" s="38" t="s">
        <v>12</v>
      </c>
      <c r="E228" s="29" t="s">
        <v>13</v>
      </c>
      <c r="F228" s="29"/>
      <c r="G228" s="5" t="s">
        <v>14</v>
      </c>
      <c r="H228" s="5" t="s">
        <v>15</v>
      </c>
      <c r="I228" s="32">
        <v>12.0</v>
      </c>
      <c r="J228" s="32" t="s">
        <v>35</v>
      </c>
      <c r="K228" s="33" t="s">
        <v>416</v>
      </c>
      <c r="L228" s="30"/>
      <c r="M228" s="30"/>
      <c r="N228" s="46"/>
    </row>
    <row r="229">
      <c r="A229" s="2" t="s">
        <v>417</v>
      </c>
      <c r="B229" s="4" t="s">
        <v>415</v>
      </c>
      <c r="D229" s="2" t="s">
        <v>20</v>
      </c>
      <c r="E229" s="4" t="s">
        <v>118</v>
      </c>
      <c r="F229" s="4"/>
      <c r="G229" s="4"/>
      <c r="H229" s="4"/>
      <c r="I229" s="6">
        <v>12.0</v>
      </c>
      <c r="J229" s="6" t="s">
        <v>35</v>
      </c>
      <c r="K229" s="7" t="s">
        <v>416</v>
      </c>
      <c r="N229" s="8"/>
    </row>
    <row r="230">
      <c r="A230" s="2" t="s">
        <v>418</v>
      </c>
      <c r="B230" s="4" t="s">
        <v>415</v>
      </c>
      <c r="D230" s="4" t="s">
        <v>23</v>
      </c>
      <c r="E230" s="4" t="s">
        <v>85</v>
      </c>
      <c r="F230" s="4"/>
      <c r="G230" s="4"/>
      <c r="H230" s="4"/>
      <c r="I230" s="6">
        <v>12.0</v>
      </c>
      <c r="J230" s="6" t="s">
        <v>35</v>
      </c>
      <c r="K230" s="7" t="s">
        <v>416</v>
      </c>
      <c r="N230" s="8"/>
    </row>
    <row r="231">
      <c r="A231" s="2" t="s">
        <v>419</v>
      </c>
      <c r="B231" s="4" t="s">
        <v>415</v>
      </c>
      <c r="D231" s="2" t="s">
        <v>24</v>
      </c>
      <c r="E231" s="4" t="s">
        <v>85</v>
      </c>
      <c r="F231" s="4"/>
      <c r="G231" s="4"/>
      <c r="H231" s="4"/>
      <c r="I231" s="6">
        <v>12.0</v>
      </c>
      <c r="J231" s="6" t="s">
        <v>35</v>
      </c>
      <c r="K231" s="7" t="s">
        <v>420</v>
      </c>
      <c r="N231" s="8"/>
    </row>
    <row r="232">
      <c r="A232" s="2" t="s">
        <v>421</v>
      </c>
      <c r="B232" s="35" t="s">
        <v>415</v>
      </c>
      <c r="C232" s="25"/>
      <c r="D232" s="35" t="s">
        <v>22</v>
      </c>
      <c r="E232" s="35" t="s">
        <v>325</v>
      </c>
      <c r="F232" s="57"/>
      <c r="G232" s="57"/>
      <c r="H232" s="57"/>
      <c r="I232" s="58">
        <v>6.0</v>
      </c>
      <c r="J232" s="26" t="s">
        <v>35</v>
      </c>
      <c r="K232" s="35" t="s">
        <v>416</v>
      </c>
      <c r="L232" s="28"/>
      <c r="M232" s="28"/>
      <c r="N232" s="47"/>
    </row>
    <row r="233">
      <c r="A233" s="2" t="s">
        <v>422</v>
      </c>
      <c r="B233" s="4" t="s">
        <v>423</v>
      </c>
      <c r="D233" s="2" t="s">
        <v>20</v>
      </c>
      <c r="E233" s="2" t="s">
        <v>424</v>
      </c>
      <c r="F233" s="4"/>
      <c r="G233" s="4"/>
      <c r="H233" s="4"/>
      <c r="I233" s="6">
        <v>1.0</v>
      </c>
      <c r="J233" s="6" t="s">
        <v>35</v>
      </c>
      <c r="K233" s="7" t="s">
        <v>425</v>
      </c>
      <c r="N233" s="8"/>
    </row>
    <row r="234">
      <c r="A234" s="2" t="s">
        <v>426</v>
      </c>
      <c r="B234" s="4" t="s">
        <v>423</v>
      </c>
      <c r="D234" s="2" t="s">
        <v>12</v>
      </c>
      <c r="E234" s="3" t="s">
        <v>427</v>
      </c>
      <c r="F234" s="4"/>
      <c r="G234" s="4"/>
      <c r="H234" s="4"/>
      <c r="I234" s="6">
        <v>1.0</v>
      </c>
      <c r="J234" s="6" t="s">
        <v>35</v>
      </c>
      <c r="K234" s="7" t="s">
        <v>425</v>
      </c>
      <c r="N234" s="8"/>
    </row>
    <row r="235">
      <c r="A235" s="2" t="s">
        <v>428</v>
      </c>
      <c r="B235" s="4" t="s">
        <v>423</v>
      </c>
      <c r="D235" s="2" t="s">
        <v>24</v>
      </c>
      <c r="E235" s="4" t="s">
        <v>85</v>
      </c>
      <c r="F235" s="4"/>
      <c r="G235" s="4"/>
      <c r="H235" s="4"/>
      <c r="I235" s="6">
        <v>1.0</v>
      </c>
      <c r="J235" s="6" t="s">
        <v>35</v>
      </c>
      <c r="K235" s="7" t="s">
        <v>425</v>
      </c>
      <c r="N235" s="8"/>
    </row>
    <row r="236">
      <c r="A236" s="2" t="s">
        <v>429</v>
      </c>
      <c r="B236" s="4" t="s">
        <v>423</v>
      </c>
      <c r="D236" s="4" t="s">
        <v>23</v>
      </c>
      <c r="E236" s="4" t="s">
        <v>85</v>
      </c>
      <c r="F236" s="4"/>
      <c r="G236" s="4"/>
      <c r="H236" s="4"/>
      <c r="I236" s="6">
        <v>1.0</v>
      </c>
      <c r="J236" s="6" t="s">
        <v>35</v>
      </c>
      <c r="K236" s="7" t="s">
        <v>425</v>
      </c>
      <c r="N236" s="8"/>
    </row>
    <row r="237">
      <c r="A237" s="2" t="s">
        <v>430</v>
      </c>
      <c r="B237" s="4" t="s">
        <v>423</v>
      </c>
      <c r="D237" s="2" t="s">
        <v>26</v>
      </c>
      <c r="E237" s="4" t="s">
        <v>68</v>
      </c>
      <c r="F237" s="4"/>
      <c r="G237" s="4"/>
      <c r="H237" s="4"/>
      <c r="I237" s="6">
        <v>1.0</v>
      </c>
      <c r="J237" s="6" t="s">
        <v>35</v>
      </c>
      <c r="K237" s="7" t="s">
        <v>425</v>
      </c>
      <c r="N237" s="8"/>
    </row>
    <row r="238">
      <c r="A238" s="2" t="s">
        <v>431</v>
      </c>
      <c r="B238" s="4" t="s">
        <v>423</v>
      </c>
      <c r="D238" s="2" t="s">
        <v>21</v>
      </c>
      <c r="E238" s="3" t="s">
        <v>432</v>
      </c>
      <c r="F238" s="4"/>
      <c r="G238" s="4"/>
      <c r="H238" s="4"/>
      <c r="I238" s="6">
        <v>1.0</v>
      </c>
      <c r="J238" s="6" t="s">
        <v>35</v>
      </c>
      <c r="K238" s="7" t="s">
        <v>425</v>
      </c>
      <c r="N238" s="8"/>
    </row>
    <row r="239">
      <c r="A239" s="2" t="s">
        <v>433</v>
      </c>
      <c r="B239" s="4" t="s">
        <v>423</v>
      </c>
      <c r="D239" s="2" t="s">
        <v>21</v>
      </c>
      <c r="E239" s="3" t="s">
        <v>434</v>
      </c>
      <c r="F239" s="4"/>
      <c r="G239" s="4"/>
      <c r="H239" s="4"/>
      <c r="I239" s="6">
        <v>1.0</v>
      </c>
      <c r="J239" s="6" t="s">
        <v>35</v>
      </c>
      <c r="K239" s="7" t="s">
        <v>425</v>
      </c>
      <c r="N239" s="8"/>
    </row>
    <row r="240">
      <c r="A240" s="2" t="s">
        <v>435</v>
      </c>
      <c r="B240" s="4" t="s">
        <v>423</v>
      </c>
      <c r="D240" s="2" t="s">
        <v>25</v>
      </c>
      <c r="E240" s="4" t="s">
        <v>70</v>
      </c>
      <c r="F240" s="4"/>
      <c r="G240" s="4"/>
      <c r="H240" s="4"/>
      <c r="I240" s="6">
        <v>1.0</v>
      </c>
      <c r="J240" s="6" t="s">
        <v>35</v>
      </c>
      <c r="K240" s="7" t="s">
        <v>425</v>
      </c>
      <c r="N240" s="8"/>
    </row>
    <row r="241">
      <c r="A241" s="2" t="s">
        <v>436</v>
      </c>
      <c r="B241" s="4" t="s">
        <v>437</v>
      </c>
      <c r="D241" s="2" t="s">
        <v>20</v>
      </c>
      <c r="E241" s="3" t="s">
        <v>118</v>
      </c>
      <c r="F241" s="4"/>
      <c r="G241" s="4"/>
      <c r="H241" s="4"/>
      <c r="I241" s="6">
        <v>1.0</v>
      </c>
      <c r="J241" s="6" t="s">
        <v>35</v>
      </c>
      <c r="K241" s="7" t="s">
        <v>17</v>
      </c>
      <c r="N241" s="8"/>
    </row>
    <row r="242">
      <c r="A242" s="2" t="s">
        <v>438</v>
      </c>
      <c r="B242" s="4" t="s">
        <v>437</v>
      </c>
      <c r="D242" s="2" t="s">
        <v>12</v>
      </c>
      <c r="E242" s="3" t="s">
        <v>247</v>
      </c>
      <c r="F242" s="4"/>
      <c r="G242" s="5" t="s">
        <v>14</v>
      </c>
      <c r="H242" s="5" t="s">
        <v>15</v>
      </c>
      <c r="I242" s="6">
        <v>1.0</v>
      </c>
      <c r="J242" s="6" t="s">
        <v>35</v>
      </c>
      <c r="K242" s="7" t="s">
        <v>17</v>
      </c>
      <c r="N242" s="8"/>
    </row>
    <row r="243">
      <c r="A243" s="2" t="s">
        <v>439</v>
      </c>
      <c r="B243" s="4" t="s">
        <v>437</v>
      </c>
      <c r="D243" s="23" t="s">
        <v>23</v>
      </c>
      <c r="E243" s="4" t="s">
        <v>124</v>
      </c>
      <c r="F243" s="4"/>
      <c r="G243" s="4"/>
      <c r="H243" s="4"/>
      <c r="I243" s="6">
        <v>1.0</v>
      </c>
      <c r="J243" s="6" t="s">
        <v>35</v>
      </c>
      <c r="K243" s="7" t="s">
        <v>17</v>
      </c>
      <c r="N243" s="8"/>
    </row>
    <row r="244">
      <c r="A244" s="2" t="s">
        <v>440</v>
      </c>
      <c r="B244" s="4" t="s">
        <v>437</v>
      </c>
      <c r="D244" s="2" t="s">
        <v>24</v>
      </c>
      <c r="E244" s="4" t="s">
        <v>85</v>
      </c>
      <c r="F244" s="4"/>
      <c r="G244" s="4"/>
      <c r="H244" s="4"/>
      <c r="I244" s="6">
        <v>1.0</v>
      </c>
      <c r="J244" s="6" t="s">
        <v>35</v>
      </c>
      <c r="K244" s="7" t="s">
        <v>17</v>
      </c>
      <c r="N244" s="8"/>
    </row>
    <row r="245">
      <c r="A245" s="2" t="s">
        <v>441</v>
      </c>
      <c r="B245" s="4" t="s">
        <v>437</v>
      </c>
      <c r="D245" s="2" t="s">
        <v>25</v>
      </c>
      <c r="E245" s="4" t="s">
        <v>70</v>
      </c>
      <c r="F245" s="4"/>
      <c r="G245" s="4"/>
      <c r="H245" s="4"/>
      <c r="I245" s="6">
        <v>1.0</v>
      </c>
      <c r="J245" s="6" t="s">
        <v>35</v>
      </c>
      <c r="K245" s="7" t="s">
        <v>17</v>
      </c>
      <c r="N245" s="8"/>
    </row>
    <row r="246">
      <c r="A246" s="2" t="s">
        <v>442</v>
      </c>
      <c r="B246" s="4" t="s">
        <v>437</v>
      </c>
      <c r="D246" s="4" t="s">
        <v>22</v>
      </c>
      <c r="E246" s="4" t="s">
        <v>116</v>
      </c>
      <c r="F246" s="4"/>
      <c r="G246" s="4"/>
      <c r="H246" s="4"/>
      <c r="I246" s="6">
        <v>1.0</v>
      </c>
      <c r="J246" s="6" t="s">
        <v>35</v>
      </c>
      <c r="K246" s="7" t="s">
        <v>17</v>
      </c>
      <c r="N246" s="8"/>
    </row>
    <row r="247">
      <c r="A247" s="2" t="s">
        <v>443</v>
      </c>
      <c r="B247" s="19" t="s">
        <v>437</v>
      </c>
      <c r="D247" s="19" t="s">
        <v>27</v>
      </c>
      <c r="E247" s="59" t="s">
        <v>444</v>
      </c>
      <c r="F247" s="4"/>
      <c r="G247" s="4"/>
      <c r="H247" s="4"/>
      <c r="I247" s="6">
        <v>1.0</v>
      </c>
      <c r="J247" s="6" t="s">
        <v>35</v>
      </c>
      <c r="K247" s="7" t="s">
        <v>17</v>
      </c>
      <c r="N247" s="8"/>
    </row>
    <row r="248">
      <c r="A248" s="2" t="s">
        <v>445</v>
      </c>
      <c r="B248" s="4" t="s">
        <v>446</v>
      </c>
      <c r="D248" s="2" t="s">
        <v>20</v>
      </c>
      <c r="E248" s="2" t="s">
        <v>424</v>
      </c>
      <c r="F248" s="4"/>
      <c r="G248" s="4"/>
      <c r="H248" s="4"/>
      <c r="I248" s="6">
        <v>1.0</v>
      </c>
      <c r="J248" s="6" t="s">
        <v>35</v>
      </c>
      <c r="K248" s="7" t="s">
        <v>447</v>
      </c>
      <c r="N248" s="8"/>
    </row>
    <row r="249">
      <c r="A249" s="2" t="s">
        <v>448</v>
      </c>
      <c r="B249" s="4" t="s">
        <v>446</v>
      </c>
      <c r="D249" s="2" t="s">
        <v>12</v>
      </c>
      <c r="E249" s="4" t="s">
        <v>13</v>
      </c>
      <c r="F249" s="4"/>
      <c r="G249" s="5" t="s">
        <v>14</v>
      </c>
      <c r="H249" s="5" t="s">
        <v>15</v>
      </c>
      <c r="I249" s="6">
        <v>1.0</v>
      </c>
      <c r="J249" s="6" t="s">
        <v>35</v>
      </c>
      <c r="K249" s="7" t="s">
        <v>447</v>
      </c>
      <c r="N249" s="8"/>
    </row>
    <row r="250">
      <c r="A250" s="2" t="s">
        <v>449</v>
      </c>
      <c r="B250" s="4" t="s">
        <v>446</v>
      </c>
      <c r="D250" s="4" t="s">
        <v>23</v>
      </c>
      <c r="E250" s="4" t="s">
        <v>450</v>
      </c>
      <c r="F250" s="4"/>
      <c r="G250" s="4"/>
      <c r="H250" s="4"/>
      <c r="I250" s="6">
        <v>1.0</v>
      </c>
      <c r="J250" s="6" t="s">
        <v>35</v>
      </c>
      <c r="K250" s="7" t="s">
        <v>447</v>
      </c>
      <c r="N250" s="8"/>
    </row>
    <row r="251">
      <c r="A251" s="2" t="s">
        <v>451</v>
      </c>
      <c r="B251" s="4" t="s">
        <v>446</v>
      </c>
      <c r="D251" s="2" t="s">
        <v>24</v>
      </c>
      <c r="E251" s="4" t="s">
        <v>85</v>
      </c>
      <c r="F251" s="4"/>
      <c r="G251" s="4"/>
      <c r="H251" s="4"/>
      <c r="I251" s="6">
        <v>1.0</v>
      </c>
      <c r="J251" s="6" t="s">
        <v>35</v>
      </c>
      <c r="K251" s="7" t="s">
        <v>447</v>
      </c>
      <c r="N251" s="8"/>
    </row>
    <row r="252">
      <c r="A252" s="2" t="s">
        <v>452</v>
      </c>
      <c r="B252" s="4" t="s">
        <v>453</v>
      </c>
      <c r="D252" s="2" t="s">
        <v>20</v>
      </c>
      <c r="E252" s="4" t="s">
        <v>454</v>
      </c>
      <c r="F252" s="4"/>
      <c r="G252" s="4"/>
      <c r="H252" s="4"/>
      <c r="I252" s="6">
        <v>1.0</v>
      </c>
      <c r="J252" s="6" t="s">
        <v>35</v>
      </c>
      <c r="K252" s="7" t="s">
        <v>455</v>
      </c>
      <c r="N252" s="8"/>
    </row>
    <row r="253">
      <c r="A253" s="2" t="s">
        <v>456</v>
      </c>
      <c r="B253" s="4" t="s">
        <v>453</v>
      </c>
      <c r="D253" s="2" t="s">
        <v>12</v>
      </c>
      <c r="E253" s="3" t="s">
        <v>457</v>
      </c>
      <c r="F253" s="4"/>
      <c r="G253" s="4"/>
      <c r="H253" s="4"/>
      <c r="I253" s="6">
        <v>1.0</v>
      </c>
      <c r="J253" s="6" t="s">
        <v>35</v>
      </c>
      <c r="K253" s="7" t="s">
        <v>455</v>
      </c>
      <c r="N253" s="8"/>
    </row>
    <row r="254">
      <c r="A254" s="2" t="s">
        <v>458</v>
      </c>
      <c r="B254" s="4" t="s">
        <v>453</v>
      </c>
      <c r="D254" s="4" t="s">
        <v>23</v>
      </c>
      <c r="E254" s="4" t="s">
        <v>450</v>
      </c>
      <c r="F254" s="4"/>
      <c r="G254" s="4"/>
      <c r="H254" s="4"/>
      <c r="I254" s="6">
        <v>1.0</v>
      </c>
      <c r="J254" s="6" t="s">
        <v>35</v>
      </c>
      <c r="K254" s="7" t="s">
        <v>455</v>
      </c>
      <c r="N254" s="8"/>
    </row>
    <row r="255">
      <c r="A255" s="2" t="s">
        <v>459</v>
      </c>
      <c r="B255" s="4" t="s">
        <v>453</v>
      </c>
      <c r="D255" s="2" t="s">
        <v>24</v>
      </c>
      <c r="E255" s="4" t="s">
        <v>49</v>
      </c>
      <c r="F255" s="4"/>
      <c r="G255" s="4"/>
      <c r="H255" s="4"/>
      <c r="I255" s="6">
        <v>1.0</v>
      </c>
      <c r="J255" s="6" t="s">
        <v>35</v>
      </c>
      <c r="K255" s="7" t="s">
        <v>455</v>
      </c>
      <c r="N255" s="8"/>
    </row>
    <row r="256">
      <c r="A256" s="2" t="s">
        <v>460</v>
      </c>
      <c r="B256" s="4" t="s">
        <v>461</v>
      </c>
      <c r="D256" s="2" t="s">
        <v>20</v>
      </c>
      <c r="E256" s="4" t="s">
        <v>454</v>
      </c>
      <c r="F256" s="4"/>
      <c r="G256" s="4"/>
      <c r="H256" s="4"/>
      <c r="I256" s="6">
        <v>1.0</v>
      </c>
      <c r="J256" s="6" t="s">
        <v>35</v>
      </c>
      <c r="K256" s="7" t="s">
        <v>455</v>
      </c>
      <c r="N256" s="8"/>
    </row>
    <row r="257">
      <c r="A257" s="2" t="s">
        <v>462</v>
      </c>
      <c r="B257" s="4" t="s">
        <v>461</v>
      </c>
      <c r="D257" s="2" t="s">
        <v>12</v>
      </c>
      <c r="E257" s="3" t="s">
        <v>463</v>
      </c>
      <c r="F257" s="4"/>
      <c r="G257" s="4"/>
      <c r="H257" s="4"/>
      <c r="I257" s="6">
        <v>1.0</v>
      </c>
      <c r="J257" s="6" t="s">
        <v>35</v>
      </c>
      <c r="K257" s="7" t="s">
        <v>455</v>
      </c>
      <c r="N257" s="8"/>
    </row>
    <row r="258">
      <c r="A258" s="2" t="s">
        <v>464</v>
      </c>
      <c r="B258" s="4" t="s">
        <v>461</v>
      </c>
      <c r="D258" s="2" t="s">
        <v>24</v>
      </c>
      <c r="E258" s="4" t="s">
        <v>49</v>
      </c>
      <c r="F258" s="4"/>
      <c r="G258" s="4"/>
      <c r="H258" s="4"/>
      <c r="I258" s="6">
        <v>1.0</v>
      </c>
      <c r="J258" s="6" t="s">
        <v>35</v>
      </c>
      <c r="K258" s="7" t="s">
        <v>455</v>
      </c>
      <c r="N258" s="8"/>
    </row>
    <row r="259">
      <c r="A259" s="2" t="s">
        <v>465</v>
      </c>
      <c r="B259" s="4" t="s">
        <v>461</v>
      </c>
      <c r="D259" s="23" t="s">
        <v>23</v>
      </c>
      <c r="E259" s="4" t="s">
        <v>450</v>
      </c>
      <c r="F259" s="4"/>
      <c r="G259" s="4"/>
      <c r="H259" s="4"/>
      <c r="I259" s="6">
        <v>1.0</v>
      </c>
      <c r="J259" s="6" t="s">
        <v>35</v>
      </c>
      <c r="K259" s="7" t="s">
        <v>455</v>
      </c>
      <c r="N259" s="8"/>
    </row>
    <row r="260">
      <c r="A260" s="2" t="s">
        <v>466</v>
      </c>
      <c r="B260" s="4" t="s">
        <v>467</v>
      </c>
      <c r="D260" s="2" t="s">
        <v>20</v>
      </c>
      <c r="E260" s="4" t="s">
        <v>454</v>
      </c>
      <c r="F260" s="4"/>
      <c r="G260" s="4"/>
      <c r="H260" s="4"/>
      <c r="I260" s="6">
        <v>1.0</v>
      </c>
      <c r="J260" s="6" t="s">
        <v>35</v>
      </c>
      <c r="K260" s="7" t="s">
        <v>455</v>
      </c>
      <c r="N260" s="8"/>
    </row>
    <row r="261">
      <c r="A261" s="2" t="s">
        <v>468</v>
      </c>
      <c r="B261" s="4" t="s">
        <v>467</v>
      </c>
      <c r="D261" s="2" t="s">
        <v>12</v>
      </c>
      <c r="E261" s="3" t="s">
        <v>76</v>
      </c>
      <c r="F261" s="4"/>
      <c r="G261" s="4"/>
      <c r="H261" s="4"/>
      <c r="I261" s="6">
        <v>1.0</v>
      </c>
      <c r="J261" s="6" t="s">
        <v>35</v>
      </c>
      <c r="K261" s="7" t="s">
        <v>455</v>
      </c>
      <c r="N261" s="8"/>
    </row>
    <row r="262">
      <c r="A262" s="2" t="s">
        <v>469</v>
      </c>
      <c r="B262" s="4" t="s">
        <v>467</v>
      </c>
      <c r="D262" s="2" t="s">
        <v>24</v>
      </c>
      <c r="E262" s="4" t="s">
        <v>62</v>
      </c>
      <c r="F262" s="4"/>
      <c r="G262" s="4"/>
      <c r="H262" s="4"/>
      <c r="I262" s="6">
        <v>1.0</v>
      </c>
      <c r="J262" s="6" t="s">
        <v>35</v>
      </c>
      <c r="K262" s="7" t="s">
        <v>455</v>
      </c>
      <c r="N262" s="8"/>
    </row>
    <row r="263">
      <c r="A263" s="2" t="s">
        <v>470</v>
      </c>
      <c r="B263" s="34" t="s">
        <v>467</v>
      </c>
      <c r="C263" s="42"/>
      <c r="D263" s="60" t="s">
        <v>23</v>
      </c>
      <c r="E263" s="34" t="s">
        <v>450</v>
      </c>
      <c r="F263" s="34"/>
      <c r="G263" s="34"/>
      <c r="H263" s="34"/>
      <c r="I263" s="26">
        <v>1.0</v>
      </c>
      <c r="J263" s="26" t="s">
        <v>35</v>
      </c>
      <c r="K263" s="35" t="s">
        <v>455</v>
      </c>
      <c r="L263" s="28"/>
      <c r="M263" s="28"/>
      <c r="N263" s="47"/>
    </row>
    <row r="264">
      <c r="A264" s="2" t="s">
        <v>471</v>
      </c>
      <c r="B264" s="29" t="s">
        <v>472</v>
      </c>
      <c r="C264" s="56"/>
      <c r="D264" s="2" t="s">
        <v>20</v>
      </c>
      <c r="E264" s="40" t="s">
        <v>118</v>
      </c>
      <c r="F264" s="29"/>
      <c r="G264" s="29"/>
      <c r="H264" s="29"/>
      <c r="I264" s="6">
        <v>1.0</v>
      </c>
      <c r="J264" s="32" t="s">
        <v>35</v>
      </c>
      <c r="K264" s="33" t="s">
        <v>473</v>
      </c>
      <c r="L264" s="30"/>
      <c r="M264" s="30"/>
      <c r="N264" s="46"/>
    </row>
    <row r="265">
      <c r="A265" s="2" t="s">
        <v>474</v>
      </c>
      <c r="B265" s="4" t="s">
        <v>472</v>
      </c>
      <c r="D265" s="2" t="s">
        <v>12</v>
      </c>
      <c r="E265" s="3" t="s">
        <v>475</v>
      </c>
      <c r="F265" s="4"/>
      <c r="G265" s="4"/>
      <c r="H265" s="4"/>
      <c r="I265" s="6">
        <v>1.0</v>
      </c>
      <c r="J265" s="6" t="s">
        <v>35</v>
      </c>
      <c r="K265" s="7" t="s">
        <v>473</v>
      </c>
      <c r="N265" s="8"/>
    </row>
    <row r="266">
      <c r="A266" s="2" t="s">
        <v>476</v>
      </c>
      <c r="B266" s="4" t="s">
        <v>472</v>
      </c>
      <c r="D266" s="4" t="s">
        <v>23</v>
      </c>
      <c r="E266" s="4" t="s">
        <v>85</v>
      </c>
      <c r="F266" s="4"/>
      <c r="G266" s="4"/>
      <c r="H266" s="4"/>
      <c r="I266" s="6">
        <v>1.0</v>
      </c>
      <c r="J266" s="6" t="s">
        <v>35</v>
      </c>
      <c r="K266" s="7" t="s">
        <v>473</v>
      </c>
      <c r="N266" s="8"/>
    </row>
    <row r="267">
      <c r="A267" s="2" t="s">
        <v>477</v>
      </c>
      <c r="B267" s="4" t="s">
        <v>472</v>
      </c>
      <c r="D267" s="2" t="s">
        <v>24</v>
      </c>
      <c r="E267" s="4" t="s">
        <v>85</v>
      </c>
      <c r="F267" s="4"/>
      <c r="G267" s="4"/>
      <c r="H267" s="4"/>
      <c r="I267" s="6">
        <v>1.0</v>
      </c>
      <c r="J267" s="6" t="s">
        <v>35</v>
      </c>
      <c r="K267" s="7" t="s">
        <v>473</v>
      </c>
      <c r="N267" s="8"/>
    </row>
    <row r="268">
      <c r="A268" s="2" t="s">
        <v>478</v>
      </c>
      <c r="B268" s="4" t="s">
        <v>472</v>
      </c>
      <c r="D268" s="2" t="s">
        <v>21</v>
      </c>
      <c r="E268" s="3" t="s">
        <v>94</v>
      </c>
      <c r="F268" s="4"/>
      <c r="G268" s="4"/>
      <c r="H268" s="4"/>
      <c r="I268" s="6">
        <v>1.0</v>
      </c>
      <c r="J268" s="6" t="s">
        <v>35</v>
      </c>
      <c r="K268" s="7" t="s">
        <v>473</v>
      </c>
      <c r="N268" s="8"/>
    </row>
    <row r="269">
      <c r="A269" s="2" t="s">
        <v>479</v>
      </c>
      <c r="B269" s="4" t="s">
        <v>472</v>
      </c>
      <c r="D269" s="2" t="s">
        <v>28</v>
      </c>
      <c r="E269" s="4" t="s">
        <v>62</v>
      </c>
      <c r="F269" s="4"/>
      <c r="G269" s="4"/>
      <c r="H269" s="4"/>
      <c r="I269" s="6">
        <v>1.0</v>
      </c>
      <c r="J269" s="6" t="s">
        <v>35</v>
      </c>
      <c r="K269" s="7" t="s">
        <v>473</v>
      </c>
      <c r="N269" s="8"/>
    </row>
    <row r="270">
      <c r="A270" s="2" t="s">
        <v>480</v>
      </c>
      <c r="B270" s="34" t="s">
        <v>472</v>
      </c>
      <c r="C270" s="25"/>
      <c r="D270" s="24" t="s">
        <v>25</v>
      </c>
      <c r="E270" s="34" t="s">
        <v>70</v>
      </c>
      <c r="F270" s="34"/>
      <c r="G270" s="34"/>
      <c r="H270" s="34"/>
      <c r="I270" s="26">
        <v>1.0</v>
      </c>
      <c r="J270" s="26" t="s">
        <v>35</v>
      </c>
      <c r="K270" s="35" t="s">
        <v>473</v>
      </c>
      <c r="L270" s="28"/>
      <c r="M270" s="28"/>
      <c r="N270" s="47"/>
    </row>
    <row r="271">
      <c r="A271" s="2" t="s">
        <v>481</v>
      </c>
      <c r="B271" s="4" t="s">
        <v>482</v>
      </c>
      <c r="D271" s="2" t="s">
        <v>20</v>
      </c>
      <c r="E271" s="4" t="s">
        <v>118</v>
      </c>
      <c r="F271" s="4"/>
      <c r="G271" s="4"/>
      <c r="H271" s="4"/>
      <c r="I271" s="6">
        <v>1.0</v>
      </c>
      <c r="J271" s="6" t="s">
        <v>35</v>
      </c>
      <c r="K271" s="7" t="s">
        <v>483</v>
      </c>
      <c r="N271" s="8"/>
    </row>
    <row r="272">
      <c r="A272" s="2" t="s">
        <v>484</v>
      </c>
      <c r="B272" s="4" t="s">
        <v>482</v>
      </c>
      <c r="D272" s="2" t="s">
        <v>12</v>
      </c>
      <c r="E272" s="4" t="s">
        <v>13</v>
      </c>
      <c r="F272" s="4"/>
      <c r="G272" s="5" t="s">
        <v>14</v>
      </c>
      <c r="H272" s="5" t="s">
        <v>15</v>
      </c>
      <c r="I272" s="6">
        <v>1.0</v>
      </c>
      <c r="J272" s="6" t="s">
        <v>35</v>
      </c>
      <c r="K272" s="7" t="s">
        <v>483</v>
      </c>
      <c r="N272" s="8"/>
    </row>
    <row r="273">
      <c r="A273" s="2" t="s">
        <v>485</v>
      </c>
      <c r="B273" s="4" t="s">
        <v>482</v>
      </c>
      <c r="D273" s="23" t="s">
        <v>23</v>
      </c>
      <c r="E273" s="4" t="s">
        <v>85</v>
      </c>
      <c r="F273" s="4"/>
      <c r="G273" s="4"/>
      <c r="H273" s="4"/>
      <c r="I273" s="6">
        <v>1.0</v>
      </c>
      <c r="J273" s="6" t="s">
        <v>35</v>
      </c>
      <c r="K273" s="7" t="s">
        <v>483</v>
      </c>
      <c r="N273" s="8"/>
    </row>
    <row r="274">
      <c r="A274" s="2" t="s">
        <v>486</v>
      </c>
      <c r="B274" s="4" t="s">
        <v>482</v>
      </c>
      <c r="D274" s="2" t="s">
        <v>24</v>
      </c>
      <c r="E274" s="4" t="s">
        <v>487</v>
      </c>
      <c r="F274" s="4"/>
      <c r="G274" s="4"/>
      <c r="H274" s="4"/>
      <c r="I274" s="6">
        <v>1.0</v>
      </c>
      <c r="J274" s="6" t="s">
        <v>35</v>
      </c>
      <c r="K274" s="7" t="s">
        <v>483</v>
      </c>
      <c r="N274" s="8"/>
    </row>
    <row r="275">
      <c r="A275" s="2" t="s">
        <v>488</v>
      </c>
      <c r="B275" s="4" t="s">
        <v>482</v>
      </c>
      <c r="D275" s="4" t="s">
        <v>22</v>
      </c>
      <c r="E275" s="4" t="s">
        <v>116</v>
      </c>
      <c r="F275" s="4"/>
      <c r="G275" s="4"/>
      <c r="H275" s="4"/>
      <c r="I275" s="6">
        <v>1.0</v>
      </c>
      <c r="J275" s="6" t="s">
        <v>35</v>
      </c>
      <c r="K275" s="7" t="s">
        <v>483</v>
      </c>
      <c r="N275" s="8"/>
    </row>
    <row r="276">
      <c r="A276" s="2" t="s">
        <v>489</v>
      </c>
      <c r="B276" s="4" t="s">
        <v>482</v>
      </c>
      <c r="D276" s="4" t="s">
        <v>46</v>
      </c>
      <c r="E276" s="4" t="s">
        <v>276</v>
      </c>
      <c r="F276" s="4"/>
      <c r="G276" s="4"/>
      <c r="H276" s="4"/>
      <c r="I276" s="6">
        <v>1.0</v>
      </c>
      <c r="J276" s="6" t="s">
        <v>35</v>
      </c>
      <c r="K276" s="7" t="s">
        <v>483</v>
      </c>
      <c r="N276" s="8"/>
    </row>
    <row r="277">
      <c r="A277" s="2" t="s">
        <v>490</v>
      </c>
      <c r="B277" s="4" t="s">
        <v>482</v>
      </c>
      <c r="D277" s="2" t="s">
        <v>21</v>
      </c>
      <c r="E277" s="3" t="s">
        <v>169</v>
      </c>
      <c r="F277" s="4"/>
      <c r="G277" s="4"/>
      <c r="H277" s="4"/>
      <c r="I277" s="6">
        <v>1.0</v>
      </c>
      <c r="J277" s="6" t="s">
        <v>35</v>
      </c>
      <c r="K277" s="7" t="s">
        <v>483</v>
      </c>
      <c r="N277" s="8"/>
    </row>
    <row r="278">
      <c r="A278" s="2" t="s">
        <v>491</v>
      </c>
      <c r="B278" s="4" t="s">
        <v>482</v>
      </c>
      <c r="D278" s="4" t="s">
        <v>205</v>
      </c>
      <c r="E278" s="3" t="s">
        <v>206</v>
      </c>
      <c r="F278" s="4"/>
      <c r="G278" s="4"/>
      <c r="H278" s="4"/>
      <c r="I278" s="6">
        <v>1.0</v>
      </c>
      <c r="J278" s="6" t="s">
        <v>35</v>
      </c>
      <c r="K278" s="7" t="s">
        <v>483</v>
      </c>
      <c r="N278" s="8"/>
    </row>
    <row r="279">
      <c r="A279" s="2" t="s">
        <v>492</v>
      </c>
      <c r="B279" s="4" t="s">
        <v>493</v>
      </c>
      <c r="D279" s="2" t="s">
        <v>20</v>
      </c>
      <c r="E279" s="4" t="s">
        <v>118</v>
      </c>
      <c r="F279" s="4"/>
      <c r="G279" s="4"/>
      <c r="H279" s="4"/>
      <c r="I279" s="6">
        <v>1.0</v>
      </c>
      <c r="J279" s="6" t="s">
        <v>35</v>
      </c>
      <c r="K279" s="7" t="s">
        <v>494</v>
      </c>
      <c r="N279" s="8"/>
    </row>
    <row r="280">
      <c r="A280" s="2" t="s">
        <v>495</v>
      </c>
      <c r="B280" s="4" t="s">
        <v>493</v>
      </c>
      <c r="D280" s="2" t="s">
        <v>12</v>
      </c>
      <c r="E280" s="4" t="s">
        <v>13</v>
      </c>
      <c r="F280" s="4"/>
      <c r="G280" s="5" t="s">
        <v>14</v>
      </c>
      <c r="H280" s="5" t="s">
        <v>15</v>
      </c>
      <c r="I280" s="6">
        <v>1.0</v>
      </c>
      <c r="J280" s="6" t="s">
        <v>35</v>
      </c>
      <c r="K280" s="7" t="s">
        <v>494</v>
      </c>
      <c r="N280" s="8"/>
    </row>
    <row r="281">
      <c r="A281" s="2" t="s">
        <v>496</v>
      </c>
      <c r="B281" s="4" t="s">
        <v>493</v>
      </c>
      <c r="D281" s="23" t="s">
        <v>23</v>
      </c>
      <c r="E281" s="4" t="s">
        <v>85</v>
      </c>
      <c r="F281" s="4"/>
      <c r="G281" s="4"/>
      <c r="H281" s="4"/>
      <c r="I281" s="6">
        <v>1.0</v>
      </c>
      <c r="J281" s="6" t="s">
        <v>35</v>
      </c>
      <c r="K281" s="7" t="s">
        <v>494</v>
      </c>
      <c r="N281" s="8"/>
    </row>
    <row r="282">
      <c r="A282" s="2" t="s">
        <v>497</v>
      </c>
      <c r="B282" s="4" t="s">
        <v>493</v>
      </c>
      <c r="D282" s="2" t="s">
        <v>24</v>
      </c>
      <c r="E282" s="4" t="s">
        <v>85</v>
      </c>
      <c r="F282" s="4"/>
      <c r="G282" s="4"/>
      <c r="H282" s="4"/>
      <c r="I282" s="6">
        <v>1.0</v>
      </c>
      <c r="J282" s="6" t="s">
        <v>35</v>
      </c>
      <c r="K282" s="7" t="s">
        <v>494</v>
      </c>
      <c r="N282" s="8"/>
    </row>
    <row r="283">
      <c r="A283" s="2" t="s">
        <v>498</v>
      </c>
      <c r="B283" s="4" t="s">
        <v>493</v>
      </c>
      <c r="D283" s="4" t="s">
        <v>22</v>
      </c>
      <c r="E283" s="3" t="s">
        <v>172</v>
      </c>
      <c r="F283" s="4"/>
      <c r="G283" s="4"/>
      <c r="H283" s="4"/>
      <c r="I283" s="6">
        <v>1.0</v>
      </c>
      <c r="J283" s="6" t="s">
        <v>35</v>
      </c>
      <c r="K283" s="7" t="s">
        <v>494</v>
      </c>
      <c r="N283" s="8"/>
    </row>
    <row r="284">
      <c r="A284" s="2" t="s">
        <v>499</v>
      </c>
      <c r="B284" s="4" t="s">
        <v>493</v>
      </c>
      <c r="D284" s="4" t="s">
        <v>46</v>
      </c>
      <c r="E284" s="4" t="s">
        <v>276</v>
      </c>
      <c r="F284" s="4"/>
      <c r="G284" s="4"/>
      <c r="H284" s="4"/>
      <c r="I284" s="6">
        <v>1.0</v>
      </c>
      <c r="J284" s="6" t="s">
        <v>35</v>
      </c>
      <c r="K284" s="7" t="s">
        <v>494</v>
      </c>
      <c r="N284" s="8"/>
    </row>
    <row r="285">
      <c r="A285" s="2" t="s">
        <v>500</v>
      </c>
      <c r="B285" s="34" t="s">
        <v>493</v>
      </c>
      <c r="C285" s="42"/>
      <c r="D285" s="24" t="s">
        <v>21</v>
      </c>
      <c r="E285" s="49" t="s">
        <v>169</v>
      </c>
      <c r="F285" s="34"/>
      <c r="G285" s="34"/>
      <c r="H285" s="34"/>
      <c r="I285" s="26">
        <v>1.0</v>
      </c>
      <c r="J285" s="26" t="s">
        <v>35</v>
      </c>
      <c r="K285" s="35" t="s">
        <v>494</v>
      </c>
      <c r="L285" s="28"/>
      <c r="M285" s="28"/>
      <c r="N285" s="47"/>
    </row>
    <row r="286">
      <c r="A286" s="2" t="s">
        <v>501</v>
      </c>
      <c r="B286" s="4" t="s">
        <v>502</v>
      </c>
      <c r="D286" s="2" t="s">
        <v>20</v>
      </c>
      <c r="E286" s="4" t="s">
        <v>105</v>
      </c>
      <c r="F286" s="4"/>
      <c r="G286" s="4"/>
      <c r="H286" s="4"/>
      <c r="I286" s="6">
        <v>1.0</v>
      </c>
      <c r="J286" s="6" t="s">
        <v>35</v>
      </c>
      <c r="K286" s="7" t="s">
        <v>503</v>
      </c>
      <c r="N286" s="8"/>
    </row>
    <row r="287">
      <c r="A287" s="2" t="s">
        <v>504</v>
      </c>
      <c r="B287" s="4" t="s">
        <v>502</v>
      </c>
      <c r="D287" s="2" t="s">
        <v>12</v>
      </c>
      <c r="E287" s="4" t="s">
        <v>505</v>
      </c>
      <c r="F287" s="4"/>
      <c r="G287" s="4"/>
      <c r="H287" s="4"/>
      <c r="I287" s="6">
        <v>1.0</v>
      </c>
      <c r="J287" s="6" t="s">
        <v>35</v>
      </c>
      <c r="K287" s="7" t="s">
        <v>503</v>
      </c>
      <c r="N287" s="8"/>
    </row>
    <row r="288">
      <c r="A288" s="2" t="s">
        <v>506</v>
      </c>
      <c r="B288" s="4" t="s">
        <v>502</v>
      </c>
      <c r="D288" s="2" t="s">
        <v>24</v>
      </c>
      <c r="E288" s="4" t="s">
        <v>124</v>
      </c>
      <c r="F288" s="4"/>
      <c r="G288" s="4"/>
      <c r="H288" s="4"/>
      <c r="I288" s="6">
        <v>1.0</v>
      </c>
      <c r="J288" s="6" t="s">
        <v>35</v>
      </c>
      <c r="K288" s="7" t="s">
        <v>503</v>
      </c>
      <c r="N288" s="8"/>
    </row>
    <row r="289">
      <c r="A289" s="2" t="s">
        <v>507</v>
      </c>
      <c r="B289" s="4" t="s">
        <v>502</v>
      </c>
      <c r="D289" s="23" t="s">
        <v>23</v>
      </c>
      <c r="E289" s="4" t="s">
        <v>85</v>
      </c>
      <c r="F289" s="4"/>
      <c r="G289" s="4"/>
      <c r="H289" s="4"/>
      <c r="I289" s="6">
        <v>1.0</v>
      </c>
      <c r="J289" s="6" t="s">
        <v>35</v>
      </c>
      <c r="K289" s="7" t="s">
        <v>503</v>
      </c>
      <c r="N289" s="8"/>
    </row>
    <row r="290">
      <c r="A290" s="2" t="s">
        <v>508</v>
      </c>
      <c r="B290" s="3" t="s">
        <v>502</v>
      </c>
      <c r="D290" s="2" t="s">
        <v>22</v>
      </c>
      <c r="E290" s="3" t="s">
        <v>509</v>
      </c>
      <c r="F290" s="4"/>
      <c r="G290" s="4"/>
      <c r="H290" s="4"/>
      <c r="I290" s="6">
        <v>1.0</v>
      </c>
      <c r="J290" s="6" t="s">
        <v>35</v>
      </c>
      <c r="K290" s="7" t="s">
        <v>503</v>
      </c>
      <c r="N290" s="8"/>
    </row>
    <row r="291">
      <c r="A291" s="2" t="s">
        <v>510</v>
      </c>
      <c r="B291" s="34" t="s">
        <v>502</v>
      </c>
      <c r="C291" s="42"/>
      <c r="D291" s="24" t="s">
        <v>25</v>
      </c>
      <c r="E291" s="34" t="s">
        <v>70</v>
      </c>
      <c r="F291" s="34"/>
      <c r="G291" s="34"/>
      <c r="H291" s="34"/>
      <c r="I291" s="26">
        <v>1.0</v>
      </c>
      <c r="J291" s="26" t="s">
        <v>35</v>
      </c>
      <c r="K291" s="35" t="s">
        <v>503</v>
      </c>
      <c r="L291" s="28"/>
      <c r="M291" s="28"/>
      <c r="N291" s="47"/>
    </row>
    <row r="292">
      <c r="A292" s="2" t="s">
        <v>511</v>
      </c>
      <c r="B292" s="4" t="s">
        <v>512</v>
      </c>
      <c r="D292" s="2" t="s">
        <v>20</v>
      </c>
      <c r="E292" s="4" t="s">
        <v>232</v>
      </c>
      <c r="F292" s="4"/>
      <c r="G292" s="4"/>
      <c r="H292" s="4"/>
      <c r="I292" s="6">
        <v>1.0</v>
      </c>
      <c r="J292" s="6" t="s">
        <v>35</v>
      </c>
      <c r="K292" s="7" t="s">
        <v>513</v>
      </c>
      <c r="N292" s="8"/>
    </row>
    <row r="293">
      <c r="A293" s="2" t="s">
        <v>514</v>
      </c>
      <c r="B293" s="4" t="s">
        <v>512</v>
      </c>
      <c r="D293" s="2" t="s">
        <v>12</v>
      </c>
      <c r="E293" s="4" t="s">
        <v>13</v>
      </c>
      <c r="F293" s="4"/>
      <c r="G293" s="5" t="s">
        <v>14</v>
      </c>
      <c r="H293" s="5" t="s">
        <v>15</v>
      </c>
      <c r="I293" s="6">
        <v>1.0</v>
      </c>
      <c r="J293" s="6" t="s">
        <v>35</v>
      </c>
      <c r="K293" s="7" t="s">
        <v>513</v>
      </c>
      <c r="N293" s="8"/>
    </row>
    <row r="294">
      <c r="A294" s="2" t="s">
        <v>515</v>
      </c>
      <c r="B294" s="4" t="s">
        <v>512</v>
      </c>
      <c r="D294" s="2" t="s">
        <v>25</v>
      </c>
      <c r="E294" s="4" t="s">
        <v>240</v>
      </c>
      <c r="F294" s="4"/>
      <c r="G294" s="4"/>
      <c r="H294" s="4"/>
      <c r="I294" s="6">
        <v>1.0</v>
      </c>
      <c r="J294" s="6" t="s">
        <v>35</v>
      </c>
      <c r="K294" s="7" t="s">
        <v>513</v>
      </c>
      <c r="N294" s="8"/>
    </row>
    <row r="295">
      <c r="A295" s="2" t="s">
        <v>516</v>
      </c>
      <c r="B295" s="4" t="s">
        <v>512</v>
      </c>
      <c r="D295" s="23" t="s">
        <v>23</v>
      </c>
      <c r="E295" s="4" t="s">
        <v>85</v>
      </c>
      <c r="F295" s="4"/>
      <c r="G295" s="4"/>
      <c r="H295" s="4"/>
      <c r="I295" s="6">
        <v>1.0</v>
      </c>
      <c r="J295" s="6" t="s">
        <v>35</v>
      </c>
      <c r="K295" s="7" t="s">
        <v>513</v>
      </c>
      <c r="N295" s="8"/>
    </row>
    <row r="296">
      <c r="A296" s="2" t="s">
        <v>517</v>
      </c>
      <c r="B296" s="4" t="s">
        <v>512</v>
      </c>
      <c r="D296" s="2" t="s">
        <v>24</v>
      </c>
      <c r="E296" s="4" t="s">
        <v>85</v>
      </c>
      <c r="F296" s="4"/>
      <c r="G296" s="4"/>
      <c r="H296" s="4"/>
      <c r="I296" s="6">
        <v>1.0</v>
      </c>
      <c r="J296" s="6" t="s">
        <v>35</v>
      </c>
      <c r="K296" s="61" t="s">
        <v>513</v>
      </c>
      <c r="N296" s="8"/>
    </row>
    <row r="297">
      <c r="A297" s="2" t="s">
        <v>518</v>
      </c>
      <c r="B297" s="4" t="s">
        <v>512</v>
      </c>
      <c r="D297" s="2" t="s">
        <v>28</v>
      </c>
      <c r="E297" s="4" t="s">
        <v>62</v>
      </c>
      <c r="F297" s="4"/>
      <c r="G297" s="4"/>
      <c r="H297" s="4"/>
      <c r="I297" s="6">
        <v>1.0</v>
      </c>
      <c r="J297" s="6" t="s">
        <v>35</v>
      </c>
      <c r="K297" s="61" t="s">
        <v>513</v>
      </c>
      <c r="N297" s="8"/>
    </row>
    <row r="298">
      <c r="A298" s="2" t="s">
        <v>519</v>
      </c>
      <c r="B298" s="4" t="s">
        <v>512</v>
      </c>
      <c r="D298" s="4" t="s">
        <v>22</v>
      </c>
      <c r="E298" s="4" t="s">
        <v>520</v>
      </c>
      <c r="F298" s="4"/>
      <c r="G298" s="4"/>
      <c r="H298" s="4"/>
      <c r="I298" s="6">
        <v>1.0</v>
      </c>
      <c r="J298" s="6" t="s">
        <v>35</v>
      </c>
      <c r="K298" s="61" t="s">
        <v>513</v>
      </c>
      <c r="N298" s="8"/>
    </row>
    <row r="299">
      <c r="A299" s="2" t="s">
        <v>521</v>
      </c>
      <c r="B299" s="34" t="s">
        <v>512</v>
      </c>
      <c r="C299" s="42"/>
      <c r="D299" s="24" t="s">
        <v>27</v>
      </c>
      <c r="E299" s="24" t="s">
        <v>31</v>
      </c>
      <c r="F299" s="24" t="s">
        <v>32</v>
      </c>
      <c r="G299" s="24" t="s">
        <v>33</v>
      </c>
      <c r="H299" s="24" t="s">
        <v>34</v>
      </c>
      <c r="I299" s="26">
        <v>1.0</v>
      </c>
      <c r="J299" s="26" t="s">
        <v>35</v>
      </c>
      <c r="K299" s="62" t="s">
        <v>513</v>
      </c>
      <c r="L299" s="28"/>
      <c r="M299" s="28"/>
      <c r="N299" s="47"/>
    </row>
    <row r="300">
      <c r="A300" s="2" t="s">
        <v>522</v>
      </c>
      <c r="B300" s="63" t="s">
        <v>523</v>
      </c>
      <c r="D300" s="2" t="s">
        <v>20</v>
      </c>
      <c r="E300" s="64" t="s">
        <v>360</v>
      </c>
      <c r="F300" s="65"/>
      <c r="G300" s="65"/>
      <c r="I300" s="6">
        <v>1.0</v>
      </c>
      <c r="J300" s="6" t="s">
        <v>35</v>
      </c>
      <c r="K300" s="61" t="s">
        <v>524</v>
      </c>
      <c r="N300" s="8"/>
    </row>
    <row r="301">
      <c r="A301" s="2" t="s">
        <v>525</v>
      </c>
      <c r="B301" s="63" t="s">
        <v>526</v>
      </c>
      <c r="D301" s="2" t="s">
        <v>12</v>
      </c>
      <c r="E301" s="63" t="s">
        <v>13</v>
      </c>
      <c r="F301" s="65"/>
      <c r="G301" s="5" t="s">
        <v>14</v>
      </c>
      <c r="H301" s="5" t="s">
        <v>15</v>
      </c>
      <c r="I301" s="6">
        <v>1.0</v>
      </c>
      <c r="J301" s="6" t="s">
        <v>35</v>
      </c>
      <c r="K301" s="61" t="s">
        <v>524</v>
      </c>
      <c r="N301" s="8"/>
    </row>
    <row r="302">
      <c r="A302" s="2" t="s">
        <v>527</v>
      </c>
      <c r="B302" s="63" t="s">
        <v>526</v>
      </c>
      <c r="D302" s="2" t="s">
        <v>21</v>
      </c>
      <c r="E302" s="64" t="s">
        <v>528</v>
      </c>
      <c r="F302" s="65"/>
      <c r="G302" s="65"/>
      <c r="I302" s="6">
        <v>1.0</v>
      </c>
      <c r="J302" s="6" t="s">
        <v>35</v>
      </c>
      <c r="K302" s="61" t="s">
        <v>524</v>
      </c>
      <c r="N302" s="8"/>
    </row>
    <row r="303">
      <c r="A303" s="2" t="s">
        <v>529</v>
      </c>
      <c r="B303" s="64" t="s">
        <v>526</v>
      </c>
      <c r="D303" s="3" t="s">
        <v>22</v>
      </c>
      <c r="E303" s="64" t="s">
        <v>530</v>
      </c>
      <c r="F303" s="65"/>
      <c r="G303" s="65"/>
      <c r="I303" s="6">
        <v>1.0</v>
      </c>
      <c r="J303" s="6" t="s">
        <v>35</v>
      </c>
      <c r="K303" s="61" t="s">
        <v>524</v>
      </c>
      <c r="N303" s="8"/>
    </row>
    <row r="304">
      <c r="A304" s="2" t="s">
        <v>531</v>
      </c>
      <c r="B304" s="63" t="s">
        <v>526</v>
      </c>
      <c r="D304" s="4" t="s">
        <v>22</v>
      </c>
      <c r="E304" s="64" t="s">
        <v>172</v>
      </c>
      <c r="F304" s="65"/>
      <c r="G304" s="65"/>
      <c r="I304" s="6">
        <v>1.0</v>
      </c>
      <c r="J304" s="6" t="s">
        <v>35</v>
      </c>
      <c r="K304" s="61" t="s">
        <v>524</v>
      </c>
      <c r="N304" s="8"/>
    </row>
    <row r="305">
      <c r="A305" s="2" t="s">
        <v>532</v>
      </c>
      <c r="B305" s="63" t="s">
        <v>526</v>
      </c>
      <c r="D305" s="63" t="s">
        <v>23</v>
      </c>
      <c r="E305" s="63" t="s">
        <v>85</v>
      </c>
      <c r="F305" s="65"/>
      <c r="G305" s="65"/>
      <c r="I305" s="6">
        <v>1.0</v>
      </c>
      <c r="J305" s="6" t="s">
        <v>35</v>
      </c>
      <c r="K305" s="61" t="s">
        <v>524</v>
      </c>
      <c r="N305" s="8"/>
    </row>
    <row r="306">
      <c r="A306" s="2" t="s">
        <v>533</v>
      </c>
      <c r="B306" s="63" t="s">
        <v>526</v>
      </c>
      <c r="D306" s="2" t="s">
        <v>24</v>
      </c>
      <c r="E306" s="63" t="s">
        <v>85</v>
      </c>
      <c r="F306" s="65"/>
      <c r="G306" s="65"/>
      <c r="I306" s="6">
        <v>1.0</v>
      </c>
      <c r="J306" s="6" t="s">
        <v>35</v>
      </c>
      <c r="K306" s="61" t="s">
        <v>524</v>
      </c>
      <c r="N306" s="8"/>
    </row>
    <row r="307">
      <c r="A307" s="2" t="s">
        <v>534</v>
      </c>
      <c r="B307" s="63" t="s">
        <v>526</v>
      </c>
      <c r="D307" s="2" t="s">
        <v>28</v>
      </c>
      <c r="E307" s="63" t="s">
        <v>68</v>
      </c>
      <c r="F307" s="63"/>
      <c r="G307" s="63"/>
      <c r="I307" s="6">
        <v>1.0</v>
      </c>
      <c r="J307" s="6" t="s">
        <v>35</v>
      </c>
      <c r="K307" s="61" t="s">
        <v>524</v>
      </c>
      <c r="N307" s="8"/>
    </row>
    <row r="308">
      <c r="A308" s="2" t="s">
        <v>535</v>
      </c>
      <c r="B308" s="63" t="s">
        <v>526</v>
      </c>
      <c r="D308" s="2" t="s">
        <v>25</v>
      </c>
      <c r="E308" s="63" t="s">
        <v>70</v>
      </c>
      <c r="F308" s="63"/>
      <c r="G308" s="63"/>
      <c r="I308" s="6">
        <v>1.0</v>
      </c>
      <c r="J308" s="6" t="s">
        <v>35</v>
      </c>
      <c r="K308" s="61" t="s">
        <v>524</v>
      </c>
      <c r="N308" s="8"/>
    </row>
    <row r="309">
      <c r="A309" s="2" t="s">
        <v>536</v>
      </c>
      <c r="B309" s="63" t="s">
        <v>526</v>
      </c>
      <c r="D309" s="4" t="s">
        <v>22</v>
      </c>
      <c r="E309" s="63" t="s">
        <v>68</v>
      </c>
      <c r="F309" s="63"/>
      <c r="G309" s="63"/>
      <c r="I309" s="6">
        <v>1.0</v>
      </c>
      <c r="J309" s="6" t="s">
        <v>35</v>
      </c>
      <c r="K309" s="61" t="s">
        <v>524</v>
      </c>
      <c r="N309" s="8"/>
    </row>
    <row r="310">
      <c r="A310" s="2" t="s">
        <v>537</v>
      </c>
      <c r="B310" s="63" t="s">
        <v>538</v>
      </c>
      <c r="D310" s="2" t="s">
        <v>20</v>
      </c>
      <c r="E310" s="64" t="s">
        <v>360</v>
      </c>
      <c r="F310" s="63"/>
      <c r="G310" s="63"/>
      <c r="I310" s="6">
        <v>1.0</v>
      </c>
      <c r="J310" s="6" t="s">
        <v>35</v>
      </c>
      <c r="K310" s="61" t="s">
        <v>539</v>
      </c>
      <c r="N310" s="8"/>
    </row>
    <row r="311">
      <c r="A311" s="2" t="s">
        <v>540</v>
      </c>
      <c r="B311" s="63" t="s">
        <v>538</v>
      </c>
      <c r="D311" s="2" t="s">
        <v>12</v>
      </c>
      <c r="E311" s="63" t="s">
        <v>13</v>
      </c>
      <c r="F311" s="63"/>
      <c r="G311" s="5" t="s">
        <v>14</v>
      </c>
      <c r="H311" s="5" t="s">
        <v>15</v>
      </c>
      <c r="I311" s="6">
        <v>1.0</v>
      </c>
      <c r="J311" s="6" t="s">
        <v>35</v>
      </c>
      <c r="K311" s="61" t="s">
        <v>539</v>
      </c>
      <c r="N311" s="8"/>
    </row>
    <row r="312">
      <c r="A312" s="2" t="s">
        <v>541</v>
      </c>
      <c r="B312" s="63" t="s">
        <v>538</v>
      </c>
      <c r="D312" s="4" t="s">
        <v>22</v>
      </c>
      <c r="E312" s="64" t="s">
        <v>172</v>
      </c>
      <c r="F312" s="63"/>
      <c r="G312" s="63"/>
      <c r="I312" s="6">
        <v>1.0</v>
      </c>
      <c r="J312" s="6" t="s">
        <v>35</v>
      </c>
      <c r="K312" s="61" t="s">
        <v>539</v>
      </c>
      <c r="N312" s="8"/>
    </row>
    <row r="313">
      <c r="A313" s="2" t="s">
        <v>542</v>
      </c>
      <c r="B313" s="63" t="s">
        <v>538</v>
      </c>
      <c r="D313" s="63" t="s">
        <v>23</v>
      </c>
      <c r="E313" s="63" t="s">
        <v>85</v>
      </c>
      <c r="F313" s="63"/>
      <c r="G313" s="63"/>
      <c r="I313" s="6">
        <v>1.0</v>
      </c>
      <c r="J313" s="6" t="s">
        <v>35</v>
      </c>
      <c r="K313" s="61" t="s">
        <v>539</v>
      </c>
      <c r="N313" s="8"/>
    </row>
    <row r="314">
      <c r="A314" s="2" t="s">
        <v>543</v>
      </c>
      <c r="B314" s="63" t="s">
        <v>538</v>
      </c>
      <c r="D314" s="2" t="s">
        <v>24</v>
      </c>
      <c r="E314" s="63" t="s">
        <v>85</v>
      </c>
      <c r="F314" s="63"/>
      <c r="G314" s="63"/>
      <c r="I314" s="6">
        <v>1.0</v>
      </c>
      <c r="J314" s="6" t="s">
        <v>35</v>
      </c>
      <c r="K314" s="61" t="s">
        <v>539</v>
      </c>
      <c r="N314" s="8"/>
    </row>
    <row r="315">
      <c r="A315" s="2" t="s">
        <v>544</v>
      </c>
      <c r="B315" s="63" t="s">
        <v>538</v>
      </c>
      <c r="D315" s="2" t="s">
        <v>25</v>
      </c>
      <c r="E315" s="63" t="s">
        <v>70</v>
      </c>
      <c r="F315" s="63"/>
      <c r="G315" s="63"/>
      <c r="I315" s="6">
        <v>1.0</v>
      </c>
      <c r="J315" s="6" t="s">
        <v>35</v>
      </c>
      <c r="K315" s="61" t="s">
        <v>539</v>
      </c>
      <c r="N315" s="8"/>
    </row>
    <row r="316">
      <c r="A316" s="2" t="s">
        <v>545</v>
      </c>
      <c r="B316" s="66" t="s">
        <v>538</v>
      </c>
      <c r="C316" s="28"/>
      <c r="D316" s="66" t="s">
        <v>205</v>
      </c>
      <c r="E316" s="67" t="s">
        <v>206</v>
      </c>
      <c r="F316" s="66"/>
      <c r="G316" s="66"/>
      <c r="H316" s="68"/>
      <c r="I316" s="26">
        <v>1.0</v>
      </c>
      <c r="J316" s="26" t="s">
        <v>35</v>
      </c>
      <c r="K316" s="62" t="s">
        <v>539</v>
      </c>
      <c r="L316" s="28"/>
      <c r="M316" s="28"/>
      <c r="N316" s="47"/>
    </row>
    <row r="317">
      <c r="A317" s="2" t="s">
        <v>546</v>
      </c>
      <c r="B317" s="64" t="s">
        <v>547</v>
      </c>
      <c r="D317" s="2" t="s">
        <v>20</v>
      </c>
      <c r="E317" s="63" t="s">
        <v>174</v>
      </c>
      <c r="F317" s="63"/>
      <c r="G317" s="63"/>
      <c r="H317" s="65"/>
      <c r="I317" s="6">
        <v>1.0</v>
      </c>
      <c r="J317" s="32" t="s">
        <v>35</v>
      </c>
      <c r="K317" s="69" t="s">
        <v>548</v>
      </c>
      <c r="L317" s="30"/>
      <c r="M317" s="30"/>
      <c r="N317" s="46"/>
    </row>
    <row r="318">
      <c r="A318" s="2" t="s">
        <v>549</v>
      </c>
      <c r="B318" s="64" t="s">
        <v>547</v>
      </c>
      <c r="D318" s="2" t="s">
        <v>20</v>
      </c>
      <c r="E318" s="63" t="s">
        <v>174</v>
      </c>
      <c r="F318" s="63"/>
      <c r="G318" s="63"/>
      <c r="H318" s="65"/>
      <c r="I318" s="6">
        <v>1.0</v>
      </c>
      <c r="J318" s="6" t="s">
        <v>35</v>
      </c>
      <c r="K318" s="61" t="s">
        <v>548</v>
      </c>
      <c r="N318" s="8"/>
    </row>
    <row r="319">
      <c r="A319" s="2" t="s">
        <v>550</v>
      </c>
      <c r="B319" s="64" t="s">
        <v>547</v>
      </c>
      <c r="D319" s="2" t="s">
        <v>12</v>
      </c>
      <c r="E319" s="63" t="s">
        <v>13</v>
      </c>
      <c r="F319" s="63"/>
      <c r="G319" s="5" t="s">
        <v>14</v>
      </c>
      <c r="H319" s="5" t="s">
        <v>15</v>
      </c>
      <c r="I319" s="6">
        <v>1.0</v>
      </c>
      <c r="J319" s="6" t="s">
        <v>35</v>
      </c>
      <c r="K319" s="61" t="s">
        <v>548</v>
      </c>
      <c r="N319" s="8"/>
    </row>
    <row r="320">
      <c r="A320" s="2" t="s">
        <v>551</v>
      </c>
      <c r="B320" s="64" t="s">
        <v>547</v>
      </c>
      <c r="D320" s="4" t="s">
        <v>22</v>
      </c>
      <c r="E320" s="63" t="s">
        <v>520</v>
      </c>
      <c r="F320" s="63"/>
      <c r="G320" s="63"/>
      <c r="H320" s="65"/>
      <c r="I320" s="6">
        <v>1.0</v>
      </c>
      <c r="J320" s="6" t="s">
        <v>35</v>
      </c>
      <c r="K320" s="61" t="s">
        <v>548</v>
      </c>
      <c r="N320" s="8"/>
    </row>
    <row r="321">
      <c r="A321" s="2" t="s">
        <v>552</v>
      </c>
      <c r="B321" s="64" t="s">
        <v>547</v>
      </c>
      <c r="D321" s="2" t="s">
        <v>24</v>
      </c>
      <c r="E321" s="63" t="s">
        <v>124</v>
      </c>
      <c r="F321" s="63"/>
      <c r="G321" s="63"/>
      <c r="H321" s="65"/>
      <c r="I321" s="6">
        <v>1.0</v>
      </c>
      <c r="J321" s="6" t="s">
        <v>35</v>
      </c>
      <c r="K321" s="61" t="s">
        <v>548</v>
      </c>
      <c r="N321" s="8"/>
    </row>
    <row r="322">
      <c r="A322" s="2" t="s">
        <v>553</v>
      </c>
      <c r="B322" s="67" t="s">
        <v>547</v>
      </c>
      <c r="C322" s="28"/>
      <c r="D322" s="66" t="s">
        <v>23</v>
      </c>
      <c r="E322" s="66" t="s">
        <v>85</v>
      </c>
      <c r="F322" s="66"/>
      <c r="G322" s="66"/>
      <c r="H322" s="70"/>
      <c r="I322" s="26">
        <v>1.0</v>
      </c>
      <c r="J322" s="26" t="s">
        <v>35</v>
      </c>
      <c r="K322" s="62" t="s">
        <v>548</v>
      </c>
      <c r="L322" s="28"/>
      <c r="M322" s="28"/>
      <c r="N322" s="47"/>
    </row>
    <row r="323">
      <c r="A323" s="2" t="s">
        <v>554</v>
      </c>
      <c r="B323" s="61" t="s">
        <v>555</v>
      </c>
      <c r="D323" s="2" t="s">
        <v>20</v>
      </c>
      <c r="E323" s="64" t="s">
        <v>105</v>
      </c>
      <c r="F323" s="63"/>
      <c r="G323" s="63"/>
      <c r="H323" s="65"/>
      <c r="I323" s="6">
        <v>1.0</v>
      </c>
      <c r="J323" s="6" t="s">
        <v>35</v>
      </c>
      <c r="K323" s="61" t="s">
        <v>556</v>
      </c>
      <c r="N323" s="8"/>
    </row>
    <row r="324">
      <c r="A324" s="2" t="s">
        <v>557</v>
      </c>
      <c r="B324" s="61" t="s">
        <v>555</v>
      </c>
      <c r="D324" s="2" t="s">
        <v>12</v>
      </c>
      <c r="E324" s="61" t="s">
        <v>76</v>
      </c>
      <c r="F324" s="65"/>
      <c r="G324" s="63"/>
      <c r="H324" s="65"/>
      <c r="I324" s="6">
        <v>1.0</v>
      </c>
      <c r="J324" s="6" t="s">
        <v>35</v>
      </c>
      <c r="K324" s="61" t="s">
        <v>556</v>
      </c>
      <c r="N324" s="8"/>
    </row>
    <row r="325">
      <c r="A325" s="2" t="s">
        <v>558</v>
      </c>
      <c r="B325" s="61" t="s">
        <v>555</v>
      </c>
      <c r="D325" s="2" t="s">
        <v>24</v>
      </c>
      <c r="E325" s="61" t="s">
        <v>85</v>
      </c>
      <c r="F325" s="65"/>
      <c r="G325" s="63"/>
      <c r="H325" s="65"/>
      <c r="I325" s="6">
        <v>1.0</v>
      </c>
      <c r="J325" s="6" t="s">
        <v>35</v>
      </c>
      <c r="K325" s="61" t="s">
        <v>556</v>
      </c>
      <c r="N325" s="8"/>
    </row>
    <row r="326">
      <c r="A326" s="2" t="s">
        <v>559</v>
      </c>
      <c r="B326" s="61" t="s">
        <v>555</v>
      </c>
      <c r="D326" s="64" t="s">
        <v>22</v>
      </c>
      <c r="E326" s="61" t="s">
        <v>560</v>
      </c>
      <c r="F326" s="65"/>
      <c r="G326" s="63"/>
      <c r="H326" s="65"/>
      <c r="I326" s="6">
        <v>1.0</v>
      </c>
      <c r="J326" s="6" t="s">
        <v>35</v>
      </c>
      <c r="K326" s="61" t="s">
        <v>556</v>
      </c>
      <c r="N326" s="8"/>
    </row>
    <row r="327">
      <c r="A327" s="2" t="s">
        <v>561</v>
      </c>
      <c r="B327" s="61" t="s">
        <v>555</v>
      </c>
      <c r="D327" s="63" t="s">
        <v>23</v>
      </c>
      <c r="E327" s="61" t="s">
        <v>85</v>
      </c>
      <c r="F327" s="65"/>
      <c r="G327" s="63"/>
      <c r="H327" s="65"/>
      <c r="I327" s="6">
        <v>1.0</v>
      </c>
      <c r="J327" s="6" t="s">
        <v>35</v>
      </c>
      <c r="K327" s="61" t="s">
        <v>556</v>
      </c>
      <c r="N327" s="8"/>
    </row>
    <row r="328">
      <c r="A328" s="2" t="s">
        <v>562</v>
      </c>
      <c r="B328" s="61" t="s">
        <v>563</v>
      </c>
      <c r="D328" s="2" t="s">
        <v>20</v>
      </c>
      <c r="E328" s="64" t="s">
        <v>105</v>
      </c>
      <c r="F328" s="63"/>
      <c r="G328" s="65"/>
      <c r="H328" s="65"/>
      <c r="I328" s="6">
        <v>1.0</v>
      </c>
      <c r="J328" s="6" t="s">
        <v>35</v>
      </c>
      <c r="K328" s="61" t="s">
        <v>564</v>
      </c>
      <c r="N328" s="8"/>
    </row>
    <row r="329">
      <c r="A329" s="2" t="s">
        <v>10</v>
      </c>
      <c r="B329" s="61" t="s">
        <v>563</v>
      </c>
      <c r="D329" s="2" t="s">
        <v>12</v>
      </c>
      <c r="E329" s="64" t="s">
        <v>76</v>
      </c>
      <c r="F329" s="63"/>
      <c r="G329" s="65"/>
      <c r="H329" s="65"/>
      <c r="I329" s="6">
        <v>1.0</v>
      </c>
      <c r="J329" s="6" t="s">
        <v>35</v>
      </c>
      <c r="K329" s="61" t="s">
        <v>564</v>
      </c>
      <c r="N329" s="8"/>
    </row>
    <row r="330">
      <c r="A330" s="2" t="s">
        <v>565</v>
      </c>
      <c r="B330" s="61" t="s">
        <v>563</v>
      </c>
      <c r="D330" s="2" t="s">
        <v>24</v>
      </c>
      <c r="E330" s="64" t="s">
        <v>85</v>
      </c>
      <c r="F330" s="63"/>
      <c r="G330" s="65"/>
      <c r="H330" s="65"/>
      <c r="I330" s="6">
        <v>1.0</v>
      </c>
      <c r="J330" s="6" t="s">
        <v>35</v>
      </c>
      <c r="K330" s="61" t="s">
        <v>564</v>
      </c>
      <c r="N330" s="8"/>
    </row>
    <row r="331">
      <c r="A331" s="2" t="s">
        <v>566</v>
      </c>
      <c r="B331" s="61" t="s">
        <v>563</v>
      </c>
      <c r="D331" s="63" t="s">
        <v>23</v>
      </c>
      <c r="E331" s="64" t="s">
        <v>85</v>
      </c>
      <c r="F331" s="63"/>
      <c r="G331" s="65"/>
      <c r="H331" s="65"/>
      <c r="I331" s="6">
        <v>1.0</v>
      </c>
      <c r="J331" s="6" t="s">
        <v>35</v>
      </c>
      <c r="K331" s="61" t="s">
        <v>564</v>
      </c>
      <c r="N331" s="8"/>
    </row>
    <row r="332">
      <c r="A332" s="2" t="s">
        <v>567</v>
      </c>
      <c r="B332" s="64" t="s">
        <v>563</v>
      </c>
      <c r="D332" s="2" t="s">
        <v>22</v>
      </c>
      <c r="E332" s="64" t="s">
        <v>568</v>
      </c>
      <c r="F332" s="63"/>
      <c r="G332" s="65"/>
      <c r="H332" s="65"/>
      <c r="I332" s="6">
        <v>1.0</v>
      </c>
      <c r="J332" s="6" t="s">
        <v>35</v>
      </c>
      <c r="K332" s="61" t="s">
        <v>564</v>
      </c>
      <c r="N332" s="8"/>
    </row>
    <row r="333">
      <c r="A333" s="2" t="s">
        <v>569</v>
      </c>
      <c r="B333" s="64" t="s">
        <v>570</v>
      </c>
      <c r="D333" s="2" t="s">
        <v>12</v>
      </c>
      <c r="E333" s="64" t="s">
        <v>571</v>
      </c>
      <c r="F333" s="63"/>
      <c r="G333" s="65"/>
      <c r="H333" s="65"/>
      <c r="I333" s="6">
        <v>1.0</v>
      </c>
      <c r="J333" s="6" t="s">
        <v>35</v>
      </c>
      <c r="K333" s="61" t="s">
        <v>572</v>
      </c>
      <c r="N333" s="8"/>
    </row>
    <row r="334">
      <c r="A334" s="2" t="s">
        <v>573</v>
      </c>
      <c r="B334" s="64" t="s">
        <v>570</v>
      </c>
      <c r="D334" s="2" t="s">
        <v>20</v>
      </c>
      <c r="E334" s="64" t="s">
        <v>574</v>
      </c>
      <c r="F334" s="63"/>
      <c r="G334" s="65"/>
      <c r="H334" s="65"/>
      <c r="I334" s="6">
        <v>1.0</v>
      </c>
      <c r="J334" s="6" t="s">
        <v>35</v>
      </c>
      <c r="K334" s="61" t="s">
        <v>572</v>
      </c>
      <c r="N334" s="8"/>
    </row>
    <row r="335">
      <c r="A335" s="2" t="s">
        <v>575</v>
      </c>
      <c r="B335" s="64" t="s">
        <v>570</v>
      </c>
      <c r="D335" s="63" t="s">
        <v>23</v>
      </c>
      <c r="E335" s="63" t="s">
        <v>85</v>
      </c>
      <c r="F335" s="63"/>
      <c r="G335" s="65"/>
      <c r="H335" s="65"/>
      <c r="I335" s="6">
        <v>1.0</v>
      </c>
      <c r="J335" s="6" t="s">
        <v>35</v>
      </c>
      <c r="K335" s="61" t="s">
        <v>572</v>
      </c>
      <c r="N335" s="8"/>
    </row>
    <row r="336">
      <c r="A336" s="2" t="s">
        <v>576</v>
      </c>
      <c r="B336" s="64" t="s">
        <v>570</v>
      </c>
      <c r="D336" s="2" t="s">
        <v>24</v>
      </c>
      <c r="E336" s="63" t="s">
        <v>85</v>
      </c>
      <c r="F336" s="63"/>
      <c r="G336" s="65"/>
      <c r="H336" s="65"/>
      <c r="I336" s="6">
        <v>1.0</v>
      </c>
      <c r="J336" s="6" t="s">
        <v>35</v>
      </c>
      <c r="K336" s="61" t="s">
        <v>572</v>
      </c>
      <c r="N336" s="8"/>
    </row>
    <row r="337">
      <c r="A337" s="2" t="s">
        <v>577</v>
      </c>
      <c r="B337" s="64" t="s">
        <v>570</v>
      </c>
      <c r="D337" s="2" t="s">
        <v>22</v>
      </c>
      <c r="E337" s="64" t="s">
        <v>578</v>
      </c>
      <c r="F337" s="63"/>
      <c r="G337" s="65"/>
      <c r="H337" s="65"/>
      <c r="I337" s="6">
        <v>1.0</v>
      </c>
      <c r="J337" s="6" t="s">
        <v>35</v>
      </c>
      <c r="K337" s="61" t="s">
        <v>572</v>
      </c>
      <c r="N337" s="8"/>
    </row>
    <row r="338">
      <c r="A338" s="2" t="s">
        <v>579</v>
      </c>
      <c r="B338" s="64" t="s">
        <v>580</v>
      </c>
      <c r="D338" s="2" t="s">
        <v>12</v>
      </c>
      <c r="E338" s="64" t="s">
        <v>571</v>
      </c>
      <c r="F338" s="63"/>
      <c r="G338" s="65"/>
      <c r="H338" s="65"/>
      <c r="I338" s="6">
        <v>1.0</v>
      </c>
      <c r="J338" s="6" t="s">
        <v>35</v>
      </c>
      <c r="K338" s="61" t="s">
        <v>581</v>
      </c>
      <c r="N338" s="8"/>
    </row>
    <row r="339">
      <c r="A339" s="2" t="s">
        <v>582</v>
      </c>
      <c r="B339" s="64" t="s">
        <v>580</v>
      </c>
      <c r="D339" s="2" t="s">
        <v>20</v>
      </c>
      <c r="E339" s="64" t="s">
        <v>105</v>
      </c>
      <c r="F339" s="63"/>
      <c r="G339" s="65"/>
      <c r="H339" s="65"/>
      <c r="I339" s="6">
        <v>1.0</v>
      </c>
      <c r="J339" s="6" t="s">
        <v>35</v>
      </c>
      <c r="K339" s="61" t="s">
        <v>581</v>
      </c>
      <c r="N339" s="8"/>
    </row>
    <row r="340">
      <c r="A340" s="2" t="s">
        <v>583</v>
      </c>
      <c r="B340" s="64" t="s">
        <v>580</v>
      </c>
      <c r="D340" s="63" t="s">
        <v>23</v>
      </c>
      <c r="E340" s="71" t="s">
        <v>85</v>
      </c>
      <c r="F340" s="63"/>
      <c r="G340" s="65"/>
      <c r="H340" s="65"/>
      <c r="I340" s="6">
        <v>1.0</v>
      </c>
      <c r="J340" s="6" t="s">
        <v>35</v>
      </c>
      <c r="K340" s="61" t="s">
        <v>581</v>
      </c>
      <c r="N340" s="8"/>
    </row>
    <row r="341">
      <c r="A341" s="2" t="s">
        <v>584</v>
      </c>
      <c r="B341" s="64" t="s">
        <v>580</v>
      </c>
      <c r="D341" s="2" t="s">
        <v>24</v>
      </c>
      <c r="E341" s="63" t="s">
        <v>85</v>
      </c>
      <c r="F341" s="63"/>
      <c r="G341" s="65"/>
      <c r="H341" s="65"/>
      <c r="I341" s="6">
        <v>1.0</v>
      </c>
      <c r="J341" s="6" t="s">
        <v>35</v>
      </c>
      <c r="K341" s="61" t="s">
        <v>581</v>
      </c>
      <c r="N341" s="8"/>
    </row>
    <row r="342">
      <c r="A342" s="2" t="s">
        <v>585</v>
      </c>
      <c r="B342" s="64" t="s">
        <v>580</v>
      </c>
      <c r="D342" s="2" t="s">
        <v>22</v>
      </c>
      <c r="E342" s="64" t="s">
        <v>586</v>
      </c>
      <c r="F342" s="63"/>
      <c r="G342" s="65"/>
      <c r="H342" s="65"/>
      <c r="I342" s="6">
        <v>1.0</v>
      </c>
      <c r="J342" s="6" t="s">
        <v>35</v>
      </c>
      <c r="K342" s="61" t="s">
        <v>581</v>
      </c>
      <c r="N342" s="8"/>
    </row>
    <row r="343">
      <c r="A343" s="2" t="s">
        <v>587</v>
      </c>
      <c r="B343" s="64" t="s">
        <v>580</v>
      </c>
      <c r="D343" s="2" t="s">
        <v>28</v>
      </c>
      <c r="E343" s="63" t="s">
        <v>62</v>
      </c>
      <c r="F343" s="63"/>
      <c r="G343" s="65"/>
      <c r="H343" s="65"/>
      <c r="I343" s="6">
        <v>1.0</v>
      </c>
      <c r="J343" s="6" t="s">
        <v>35</v>
      </c>
      <c r="K343" s="61" t="s">
        <v>581</v>
      </c>
      <c r="N343" s="8"/>
    </row>
    <row r="344">
      <c r="A344" s="2" t="s">
        <v>588</v>
      </c>
      <c r="B344" s="69" t="s">
        <v>589</v>
      </c>
      <c r="C344" s="30"/>
      <c r="D344" s="72" t="s">
        <v>25</v>
      </c>
      <c r="E344" s="72" t="s">
        <v>70</v>
      </c>
      <c r="F344" s="73"/>
      <c r="G344" s="74"/>
      <c r="H344" s="74"/>
      <c r="I344" s="32">
        <v>1.0</v>
      </c>
      <c r="J344" s="32" t="s">
        <v>35</v>
      </c>
      <c r="K344" s="69" t="s">
        <v>590</v>
      </c>
      <c r="L344" s="30"/>
      <c r="M344" s="30"/>
      <c r="N344" s="30"/>
    </row>
    <row r="345">
      <c r="A345" s="2" t="s">
        <v>591</v>
      </c>
      <c r="B345" s="61" t="s">
        <v>589</v>
      </c>
      <c r="D345" s="64" t="s">
        <v>12</v>
      </c>
      <c r="E345" s="64" t="s">
        <v>592</v>
      </c>
      <c r="F345" s="63"/>
      <c r="G345" s="65"/>
      <c r="H345" s="65"/>
      <c r="I345" s="6">
        <v>1.0</v>
      </c>
      <c r="J345" s="6" t="s">
        <v>35</v>
      </c>
      <c r="K345" s="61" t="s">
        <v>590</v>
      </c>
    </row>
    <row r="346">
      <c r="A346" s="2" t="s">
        <v>593</v>
      </c>
      <c r="B346" s="61" t="s">
        <v>594</v>
      </c>
      <c r="D346" s="64" t="s">
        <v>25</v>
      </c>
      <c r="E346" s="64" t="s">
        <v>595</v>
      </c>
      <c r="F346" s="63"/>
      <c r="G346" s="61" t="s">
        <v>596</v>
      </c>
      <c r="H346" s="61" t="s">
        <v>597</v>
      </c>
      <c r="I346" s="61">
        <v>1.0</v>
      </c>
      <c r="J346" s="6" t="s">
        <v>35</v>
      </c>
      <c r="K346" s="61" t="s">
        <v>598</v>
      </c>
    </row>
    <row r="347">
      <c r="A347" s="2"/>
      <c r="D347" s="75"/>
      <c r="E347" s="75"/>
      <c r="F347" s="75"/>
    </row>
    <row r="348">
      <c r="A348" s="2"/>
      <c r="D348" s="75"/>
      <c r="E348" s="75"/>
      <c r="F348" s="75"/>
    </row>
    <row r="349">
      <c r="A349" s="2"/>
      <c r="D349" s="75"/>
      <c r="E349" s="76"/>
      <c r="F349" s="75"/>
    </row>
    <row r="350">
      <c r="A350" s="2"/>
      <c r="D350" s="75"/>
      <c r="E350" s="75"/>
      <c r="F350" s="75"/>
    </row>
    <row r="351">
      <c r="A351" s="2"/>
      <c r="D351" s="75"/>
      <c r="E351" s="75"/>
      <c r="F351" s="75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84">
      <c r="E384" s="75"/>
      <c r="F384" s="75"/>
      <c r="G384" s="75"/>
    </row>
    <row r="385">
      <c r="E385" s="75"/>
      <c r="F385" s="75"/>
      <c r="G385" s="75"/>
    </row>
    <row r="386">
      <c r="E386" s="75"/>
      <c r="F386" s="75"/>
      <c r="G386" s="75"/>
    </row>
    <row r="387">
      <c r="E387" s="75"/>
      <c r="F387" s="75"/>
      <c r="G387" s="75"/>
    </row>
    <row r="388">
      <c r="E388" s="75"/>
      <c r="F388" s="75"/>
      <c r="G388" s="75"/>
    </row>
    <row r="389">
      <c r="E389" s="75"/>
      <c r="F389" s="75"/>
      <c r="G389" s="75"/>
    </row>
    <row r="992">
      <c r="B992" s="77"/>
    </row>
  </sheetData>
  <autoFilter ref="$A$5:$N$347"/>
  <mergeCells count="711"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54:C354"/>
    <mergeCell ref="B355:C355"/>
    <mergeCell ref="B356:C356"/>
    <mergeCell ref="B992:C992"/>
    <mergeCell ref="B993:C993"/>
    <mergeCell ref="B994:C994"/>
    <mergeCell ref="B346:C346"/>
    <mergeCell ref="B348:C348"/>
    <mergeCell ref="B349:C349"/>
    <mergeCell ref="B350:C350"/>
    <mergeCell ref="B351:C351"/>
    <mergeCell ref="B352:C352"/>
    <mergeCell ref="B353:C353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K181:N181"/>
    <mergeCell ref="K182:N182"/>
    <mergeCell ref="K183:N183"/>
    <mergeCell ref="K184:N184"/>
    <mergeCell ref="K185:N185"/>
    <mergeCell ref="K186:N186"/>
    <mergeCell ref="K187:N187"/>
    <mergeCell ref="K188:N188"/>
    <mergeCell ref="K189:N189"/>
    <mergeCell ref="K190:N190"/>
    <mergeCell ref="K191:N191"/>
    <mergeCell ref="K192:N192"/>
    <mergeCell ref="K193:N193"/>
    <mergeCell ref="K194:N194"/>
    <mergeCell ref="K195:N195"/>
    <mergeCell ref="K196:N196"/>
    <mergeCell ref="K197:N197"/>
    <mergeCell ref="K198:N198"/>
    <mergeCell ref="K199:N199"/>
    <mergeCell ref="K200:N200"/>
    <mergeCell ref="K201:N201"/>
    <mergeCell ref="K202:N202"/>
    <mergeCell ref="K203:N203"/>
    <mergeCell ref="K204:N204"/>
    <mergeCell ref="K205:N205"/>
    <mergeCell ref="K206:N206"/>
    <mergeCell ref="K207:N207"/>
    <mergeCell ref="K208:N208"/>
    <mergeCell ref="K209:N209"/>
    <mergeCell ref="K210:N210"/>
    <mergeCell ref="K211:N211"/>
    <mergeCell ref="K212:N212"/>
    <mergeCell ref="K213:N213"/>
    <mergeCell ref="K214:N214"/>
    <mergeCell ref="K215:N215"/>
    <mergeCell ref="K216:N216"/>
    <mergeCell ref="K217:N217"/>
    <mergeCell ref="K218:N218"/>
    <mergeCell ref="K219:N219"/>
    <mergeCell ref="K220:N220"/>
    <mergeCell ref="K221:N221"/>
    <mergeCell ref="K222:N222"/>
    <mergeCell ref="K223:N223"/>
    <mergeCell ref="K224:N224"/>
    <mergeCell ref="K225:N225"/>
    <mergeCell ref="K226:N226"/>
    <mergeCell ref="K227:N227"/>
    <mergeCell ref="K228:N228"/>
    <mergeCell ref="K229:N229"/>
    <mergeCell ref="K230:N230"/>
    <mergeCell ref="K231:N231"/>
    <mergeCell ref="K232:N232"/>
    <mergeCell ref="K233:N233"/>
    <mergeCell ref="K234:N234"/>
    <mergeCell ref="K235:N235"/>
    <mergeCell ref="K236:N236"/>
    <mergeCell ref="K237:N237"/>
    <mergeCell ref="K238:N238"/>
    <mergeCell ref="K239:N239"/>
    <mergeCell ref="K240:N240"/>
    <mergeCell ref="K241:N241"/>
    <mergeCell ref="K242:N242"/>
    <mergeCell ref="K243:N243"/>
    <mergeCell ref="K244:N244"/>
    <mergeCell ref="K245:N245"/>
    <mergeCell ref="K246:N246"/>
    <mergeCell ref="K247:N247"/>
    <mergeCell ref="K248:N248"/>
    <mergeCell ref="K249:N249"/>
    <mergeCell ref="K250:N250"/>
    <mergeCell ref="K251:N251"/>
    <mergeCell ref="K252:N252"/>
    <mergeCell ref="K253:N253"/>
    <mergeCell ref="K254:N254"/>
    <mergeCell ref="K255:N255"/>
    <mergeCell ref="K256:N256"/>
    <mergeCell ref="K257:N257"/>
    <mergeCell ref="K258:N258"/>
    <mergeCell ref="K259:N259"/>
    <mergeCell ref="K260:N260"/>
    <mergeCell ref="K261:N261"/>
    <mergeCell ref="K262:N262"/>
    <mergeCell ref="K263:N263"/>
    <mergeCell ref="K264:N264"/>
    <mergeCell ref="K265:N265"/>
    <mergeCell ref="K266:N266"/>
    <mergeCell ref="K267:N267"/>
    <mergeCell ref="K268:N268"/>
    <mergeCell ref="K269:N269"/>
    <mergeCell ref="K270:N270"/>
    <mergeCell ref="K271:N271"/>
    <mergeCell ref="K272:N272"/>
    <mergeCell ref="K273:N273"/>
    <mergeCell ref="K274:N274"/>
    <mergeCell ref="K275:N275"/>
    <mergeCell ref="K276:N276"/>
    <mergeCell ref="K277:N277"/>
    <mergeCell ref="K278:N278"/>
    <mergeCell ref="K328:N328"/>
    <mergeCell ref="K329:N329"/>
    <mergeCell ref="K330:N330"/>
    <mergeCell ref="K331:N331"/>
    <mergeCell ref="K332:N332"/>
    <mergeCell ref="K333:N333"/>
    <mergeCell ref="K334:N334"/>
    <mergeCell ref="K335:N335"/>
    <mergeCell ref="K336:N336"/>
    <mergeCell ref="K337:N337"/>
    <mergeCell ref="K338:N338"/>
    <mergeCell ref="K339:N339"/>
    <mergeCell ref="K340:N340"/>
    <mergeCell ref="K341:N341"/>
    <mergeCell ref="J349:N349"/>
    <mergeCell ref="J350:N350"/>
    <mergeCell ref="J351:N351"/>
    <mergeCell ref="J352:N352"/>
    <mergeCell ref="J353:N353"/>
    <mergeCell ref="J354:N354"/>
    <mergeCell ref="J355:N355"/>
    <mergeCell ref="J356:N356"/>
    <mergeCell ref="K342:N342"/>
    <mergeCell ref="K343:N343"/>
    <mergeCell ref="K344:N344"/>
    <mergeCell ref="K345:N345"/>
    <mergeCell ref="K346:N346"/>
    <mergeCell ref="J347:N347"/>
    <mergeCell ref="J348:N348"/>
    <mergeCell ref="K279:N279"/>
    <mergeCell ref="K280:N280"/>
    <mergeCell ref="K281:N281"/>
    <mergeCell ref="K282:N282"/>
    <mergeCell ref="K283:N283"/>
    <mergeCell ref="K284:N284"/>
    <mergeCell ref="K285:N285"/>
    <mergeCell ref="K286:N286"/>
    <mergeCell ref="K287:N287"/>
    <mergeCell ref="K288:N288"/>
    <mergeCell ref="K289:N289"/>
    <mergeCell ref="K290:N290"/>
    <mergeCell ref="K291:N291"/>
    <mergeCell ref="K292:N292"/>
    <mergeCell ref="K293:N293"/>
    <mergeCell ref="K294:N294"/>
    <mergeCell ref="K295:N295"/>
    <mergeCell ref="K296:N296"/>
    <mergeCell ref="K297:N297"/>
    <mergeCell ref="K298:N298"/>
    <mergeCell ref="K299:N299"/>
    <mergeCell ref="K300:N300"/>
    <mergeCell ref="K301:N301"/>
    <mergeCell ref="K302:N302"/>
    <mergeCell ref="K303:N303"/>
    <mergeCell ref="K304:N304"/>
    <mergeCell ref="K305:N305"/>
    <mergeCell ref="K306:N306"/>
    <mergeCell ref="K307:N307"/>
    <mergeCell ref="K308:N308"/>
    <mergeCell ref="K309:N309"/>
    <mergeCell ref="K310:N310"/>
    <mergeCell ref="K311:N311"/>
    <mergeCell ref="K312:N312"/>
    <mergeCell ref="K313:N313"/>
    <mergeCell ref="K314:N314"/>
    <mergeCell ref="K315:N315"/>
    <mergeCell ref="K316:N316"/>
    <mergeCell ref="K317:N317"/>
    <mergeCell ref="K318:N318"/>
    <mergeCell ref="K319:N319"/>
    <mergeCell ref="K320:N320"/>
    <mergeCell ref="K321:N321"/>
    <mergeCell ref="K322:N322"/>
    <mergeCell ref="K323:N323"/>
    <mergeCell ref="K324:N324"/>
    <mergeCell ref="K325:N325"/>
    <mergeCell ref="K326:N326"/>
    <mergeCell ref="K327:N327"/>
    <mergeCell ref="K25:N25"/>
    <mergeCell ref="K26:N26"/>
    <mergeCell ref="K18:N18"/>
    <mergeCell ref="K19:N19"/>
    <mergeCell ref="K20:N20"/>
    <mergeCell ref="K21:N21"/>
    <mergeCell ref="K22:N22"/>
    <mergeCell ref="K23:N23"/>
    <mergeCell ref="K24:N24"/>
    <mergeCell ref="K5:N5"/>
    <mergeCell ref="K6:N6"/>
    <mergeCell ref="A1:N2"/>
    <mergeCell ref="A3:B3"/>
    <mergeCell ref="M3:N3"/>
    <mergeCell ref="A4:B4"/>
    <mergeCell ref="M4:N4"/>
    <mergeCell ref="B5:C5"/>
    <mergeCell ref="B6:C6"/>
    <mergeCell ref="B7:C7"/>
    <mergeCell ref="K7:N7"/>
    <mergeCell ref="B8:C8"/>
    <mergeCell ref="K8:N8"/>
    <mergeCell ref="B9:C9"/>
    <mergeCell ref="K9:N9"/>
    <mergeCell ref="K10:N10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K11:N11"/>
    <mergeCell ref="K12:N12"/>
    <mergeCell ref="K13:N13"/>
    <mergeCell ref="K14:N14"/>
    <mergeCell ref="K15:N15"/>
    <mergeCell ref="K16:N16"/>
    <mergeCell ref="K17:N17"/>
    <mergeCell ref="K27:N27"/>
    <mergeCell ref="K28:N28"/>
    <mergeCell ref="K29:N29"/>
    <mergeCell ref="K30:N30"/>
    <mergeCell ref="K31:N31"/>
    <mergeCell ref="K32:N32"/>
    <mergeCell ref="K33:N3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K34:N34"/>
    <mergeCell ref="K35:N35"/>
    <mergeCell ref="K36:N36"/>
    <mergeCell ref="K37:N37"/>
    <mergeCell ref="K38:N38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49:N49"/>
    <mergeCell ref="K50:N50"/>
    <mergeCell ref="K51:N51"/>
    <mergeCell ref="K52:N52"/>
    <mergeCell ref="K53:N53"/>
    <mergeCell ref="K54:N54"/>
    <mergeCell ref="K55:N55"/>
    <mergeCell ref="K56:N56"/>
    <mergeCell ref="K57:N57"/>
    <mergeCell ref="K58:N58"/>
    <mergeCell ref="K59:N59"/>
    <mergeCell ref="K60:N60"/>
    <mergeCell ref="K61:N61"/>
    <mergeCell ref="K62:N62"/>
    <mergeCell ref="K63:N63"/>
    <mergeCell ref="K64:N64"/>
    <mergeCell ref="K65:N65"/>
    <mergeCell ref="K66:N66"/>
    <mergeCell ref="K67:N67"/>
    <mergeCell ref="K68:N68"/>
    <mergeCell ref="K69:N69"/>
    <mergeCell ref="K70:N70"/>
    <mergeCell ref="K71:N71"/>
    <mergeCell ref="K72:N72"/>
    <mergeCell ref="K73:N73"/>
    <mergeCell ref="K74:N74"/>
    <mergeCell ref="K75:N75"/>
    <mergeCell ref="K76:N76"/>
    <mergeCell ref="K77:N77"/>
    <mergeCell ref="K78:N78"/>
    <mergeCell ref="K79:N79"/>
    <mergeCell ref="K80:N80"/>
    <mergeCell ref="K81:N81"/>
    <mergeCell ref="K82:N8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K83:N83"/>
    <mergeCell ref="K84:N84"/>
    <mergeCell ref="K85:N85"/>
    <mergeCell ref="K86:N86"/>
    <mergeCell ref="K87:N87"/>
    <mergeCell ref="K88:N88"/>
    <mergeCell ref="K89:N89"/>
    <mergeCell ref="K90:N90"/>
    <mergeCell ref="K91:N91"/>
    <mergeCell ref="K92:N92"/>
    <mergeCell ref="K93:N93"/>
    <mergeCell ref="K94:N94"/>
    <mergeCell ref="K95:N95"/>
    <mergeCell ref="K96:N96"/>
    <mergeCell ref="K97:N97"/>
    <mergeCell ref="K98:N98"/>
    <mergeCell ref="K99:N99"/>
    <mergeCell ref="K100:N100"/>
    <mergeCell ref="K101:N101"/>
    <mergeCell ref="K102:N102"/>
    <mergeCell ref="K103:N103"/>
    <mergeCell ref="K104:N104"/>
    <mergeCell ref="K105:N105"/>
    <mergeCell ref="K106:N106"/>
    <mergeCell ref="K107:N107"/>
    <mergeCell ref="K108:N108"/>
    <mergeCell ref="K109:N109"/>
    <mergeCell ref="K110:N110"/>
    <mergeCell ref="K111:N111"/>
    <mergeCell ref="K112:N112"/>
    <mergeCell ref="K113:N113"/>
    <mergeCell ref="K114:N114"/>
    <mergeCell ref="K115:N115"/>
    <mergeCell ref="K116:N116"/>
    <mergeCell ref="K117:N117"/>
    <mergeCell ref="K118:N118"/>
    <mergeCell ref="K119:N119"/>
    <mergeCell ref="K120:N120"/>
    <mergeCell ref="K121:N121"/>
    <mergeCell ref="K122:N122"/>
    <mergeCell ref="K123:N123"/>
    <mergeCell ref="K124:N124"/>
    <mergeCell ref="K125:N125"/>
    <mergeCell ref="K126:N126"/>
    <mergeCell ref="K127:N127"/>
    <mergeCell ref="K128:N128"/>
    <mergeCell ref="K129:N129"/>
    <mergeCell ref="K130:N130"/>
    <mergeCell ref="K131:N131"/>
    <mergeCell ref="K132:N132"/>
    <mergeCell ref="K133:N133"/>
    <mergeCell ref="K134:N134"/>
    <mergeCell ref="K135:N135"/>
    <mergeCell ref="K136:N136"/>
    <mergeCell ref="K137:N137"/>
    <mergeCell ref="K138:N138"/>
    <mergeCell ref="K139:N139"/>
    <mergeCell ref="K140:N140"/>
    <mergeCell ref="K141:N141"/>
    <mergeCell ref="K142:N142"/>
    <mergeCell ref="K143:N143"/>
    <mergeCell ref="K144:N144"/>
    <mergeCell ref="K145:N145"/>
    <mergeCell ref="K146:N146"/>
    <mergeCell ref="K147:N147"/>
    <mergeCell ref="K148:N148"/>
    <mergeCell ref="K149:N149"/>
    <mergeCell ref="K150:N150"/>
    <mergeCell ref="K151:N151"/>
    <mergeCell ref="K152:N152"/>
    <mergeCell ref="K153:N153"/>
    <mergeCell ref="K154:N154"/>
    <mergeCell ref="K155:N155"/>
    <mergeCell ref="K156:N156"/>
    <mergeCell ref="K157:N157"/>
    <mergeCell ref="K158:N158"/>
    <mergeCell ref="K159:N159"/>
    <mergeCell ref="K160:N160"/>
    <mergeCell ref="K161:N161"/>
    <mergeCell ref="K162:N162"/>
    <mergeCell ref="K163:N163"/>
    <mergeCell ref="K164:N164"/>
    <mergeCell ref="K165:N165"/>
    <mergeCell ref="K166:N166"/>
    <mergeCell ref="K167:N167"/>
    <mergeCell ref="K168:N168"/>
    <mergeCell ref="K169:N169"/>
    <mergeCell ref="K170:N170"/>
    <mergeCell ref="K171:N171"/>
    <mergeCell ref="K172:N172"/>
    <mergeCell ref="K173:N173"/>
    <mergeCell ref="K174:N174"/>
    <mergeCell ref="K175:N175"/>
    <mergeCell ref="K176:N176"/>
    <mergeCell ref="K177:N177"/>
    <mergeCell ref="K178:N178"/>
    <mergeCell ref="K179:N179"/>
    <mergeCell ref="K180:N180"/>
  </mergeCells>
  <dataValidations>
    <dataValidation type="list" allowBlank="1" showErrorMessage="1" sqref="J6:J346">
      <formula1>"EN ALMACEN,EN USO,INACTIVO"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9.0"/>
  </cols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2" t="s">
        <v>10</v>
      </c>
      <c r="B2" s="3" t="s">
        <v>11</v>
      </c>
      <c r="D2" s="2" t="s">
        <v>12</v>
      </c>
      <c r="E2" s="4" t="s">
        <v>13</v>
      </c>
      <c r="F2" s="4"/>
      <c r="G2" s="5" t="s">
        <v>14</v>
      </c>
      <c r="H2" s="5" t="s">
        <v>15</v>
      </c>
      <c r="I2" s="6">
        <v>1.0</v>
      </c>
      <c r="J2" s="6" t="s">
        <v>16</v>
      </c>
      <c r="K2" s="7" t="s">
        <v>17</v>
      </c>
      <c r="N2" s="8"/>
    </row>
    <row r="3">
      <c r="A3" s="2"/>
      <c r="B3" s="2"/>
      <c r="D3" s="3"/>
      <c r="E3" s="9"/>
      <c r="F3" s="2"/>
      <c r="G3" s="2"/>
      <c r="H3" s="2"/>
      <c r="I3" s="6"/>
      <c r="J3" s="10"/>
      <c r="K3" s="2"/>
    </row>
    <row r="4">
      <c r="A4" s="2"/>
      <c r="B4" s="2"/>
      <c r="D4" s="3"/>
      <c r="E4" s="9"/>
      <c r="F4" s="2"/>
      <c r="G4" s="2"/>
      <c r="H4" s="2"/>
      <c r="I4" s="6"/>
      <c r="J4" s="10"/>
      <c r="K4" s="2"/>
    </row>
  </sheetData>
  <mergeCells count="8">
    <mergeCell ref="B1:C1"/>
    <mergeCell ref="K1:N1"/>
    <mergeCell ref="B2:C2"/>
    <mergeCell ref="K2:N2"/>
    <mergeCell ref="B3:C3"/>
    <mergeCell ref="K3:N3"/>
    <mergeCell ref="B4:C4"/>
    <mergeCell ref="K4:N4"/>
  </mergeCells>
  <dataValidations>
    <dataValidation type="list" allowBlank="1" showErrorMessage="1" sqref="J2:J4">
      <formula1>"EN ALMACEN,EN USO,INACTIVO,DAÑADO"</formula1>
    </dataValidation>
  </dataValidations>
  <drawing r:id="rId1"/>
</worksheet>
</file>